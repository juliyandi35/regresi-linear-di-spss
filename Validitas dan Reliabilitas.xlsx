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Regresi Linear di SPSS\"/>
    </mc:Choice>
  </mc:AlternateContent>
  <xr:revisionPtr revIDLastSave="0" documentId="8_{563F07C1-B16E-4962-B351-253341BB83A1}" xr6:coauthVersionLast="47" xr6:coauthVersionMax="47" xr10:uidLastSave="{00000000-0000-0000-0000-000000000000}"/>
  <bookViews>
    <workbookView xWindow="-98" yWindow="-98" windowWidth="19396" windowHeight="11475" activeTab="5" xr2:uid="{76838AE0-D0FE-4A0C-862B-F38FF11FDBA3}"/>
  </bookViews>
  <sheets>
    <sheet name="X1" sheetId="1" r:id="rId1"/>
    <sheet name="X2" sheetId="2" r:id="rId2"/>
    <sheet name="Y" sheetId="3" r:id="rId3"/>
    <sheet name="Rangkuman Validitas" sheetId="5" r:id="rId4"/>
    <sheet name="Reliabilitas" sheetId="4" r:id="rId5"/>
    <sheet name="Rangkuman Reliabilit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4" i="6"/>
  <c r="C2" i="6"/>
  <c r="B4" i="6"/>
  <c r="B3" i="6"/>
  <c r="B2" i="6"/>
  <c r="K4" i="5"/>
  <c r="K5" i="5"/>
  <c r="K6" i="5"/>
  <c r="K7" i="5"/>
  <c r="K8" i="5"/>
  <c r="K9" i="5"/>
  <c r="K10" i="5"/>
  <c r="K11" i="5"/>
  <c r="K12" i="5"/>
  <c r="J4" i="5"/>
  <c r="J5" i="5"/>
  <c r="J6" i="5"/>
  <c r="J7" i="5"/>
  <c r="J8" i="5"/>
  <c r="J9" i="5"/>
  <c r="J10" i="5"/>
  <c r="J11" i="5"/>
  <c r="J12" i="5"/>
  <c r="I4" i="5"/>
  <c r="I5" i="5"/>
  <c r="I6" i="5"/>
  <c r="I7" i="5"/>
  <c r="I8" i="5"/>
  <c r="I9" i="5"/>
  <c r="I10" i="5"/>
  <c r="I11" i="5"/>
  <c r="I12" i="5"/>
  <c r="K3" i="5"/>
  <c r="G4" i="5"/>
  <c r="G5" i="5"/>
  <c r="G6" i="5"/>
  <c r="G7" i="5"/>
  <c r="G8" i="5"/>
  <c r="G9" i="5"/>
  <c r="G10" i="5"/>
  <c r="G11" i="5"/>
  <c r="G12" i="5"/>
  <c r="G3" i="5"/>
  <c r="F4" i="5"/>
  <c r="F5" i="5"/>
  <c r="F6" i="5"/>
  <c r="F7" i="5"/>
  <c r="F8" i="5"/>
  <c r="F9" i="5"/>
  <c r="F10" i="5"/>
  <c r="F11" i="5"/>
  <c r="F12" i="5"/>
  <c r="E4" i="5"/>
  <c r="E5" i="5"/>
  <c r="E6" i="5"/>
  <c r="E7" i="5"/>
  <c r="E8" i="5"/>
  <c r="E9" i="5"/>
  <c r="E10" i="5"/>
  <c r="E11" i="5"/>
  <c r="E12" i="5"/>
  <c r="I3" i="5"/>
  <c r="E3" i="5"/>
  <c r="J3" i="5"/>
  <c r="F3" i="5"/>
  <c r="B3" i="5"/>
  <c r="C3" i="5" s="1"/>
  <c r="A3" i="5"/>
  <c r="C9" i="5"/>
  <c r="C10" i="5"/>
  <c r="C11" i="5"/>
  <c r="C12" i="5"/>
  <c r="B4" i="5"/>
  <c r="C4" i="5" s="1"/>
  <c r="B5" i="5"/>
  <c r="C5" i="5" s="1"/>
  <c r="B6" i="5"/>
  <c r="C6" i="5" s="1"/>
  <c r="B7" i="5"/>
  <c r="C7" i="5" s="1"/>
  <c r="B8" i="5"/>
  <c r="C8" i="5" s="1"/>
  <c r="B9" i="5"/>
  <c r="B10" i="5"/>
  <c r="B11" i="5"/>
  <c r="B12" i="5"/>
  <c r="A4" i="5"/>
  <c r="A5" i="5"/>
  <c r="A6" i="5"/>
  <c r="A7" i="5"/>
  <c r="A8" i="5"/>
  <c r="A9" i="5"/>
  <c r="A10" i="5"/>
  <c r="A11" i="5"/>
  <c r="A12" i="5"/>
</calcChain>
</file>

<file path=xl/sharedStrings.xml><?xml version="1.0" encoding="utf-8"?>
<sst xmlns="http://schemas.openxmlformats.org/spreadsheetml/2006/main" count="486" uniqueCount="199">
  <si>
    <t/>
  </si>
  <si>
    <t>Correlations</t>
  </si>
  <si>
    <t>X1.1</t>
  </si>
  <si>
    <t>X1.2</t>
  </si>
  <si>
    <t>X1.3</t>
  </si>
  <si>
    <t>X1.4</t>
  </si>
  <si>
    <t>X1.5</t>
  </si>
  <si>
    <t>X1.6</t>
  </si>
  <si>
    <t>X1.7</t>
  </si>
  <si>
    <t>X1.8</t>
  </si>
  <si>
    <t>X1.9</t>
  </si>
  <si>
    <t>X1.10</t>
  </si>
  <si>
    <t>Kualitas Pelayanan</t>
  </si>
  <si>
    <t>Pearson Correlation</t>
  </si>
  <si>
    <t>Sig. (2-tailed)</t>
  </si>
  <si>
    <t>N</t>
  </si>
  <si>
    <t>**. Correlation is significant at the 0.01 level (2-tailed).</t>
  </si>
  <si>
    <t>*. Correlation is significant at the 0.05 level (2-tailed).</t>
  </si>
  <si>
    <r>
      <t>.723</t>
    </r>
    <r>
      <rPr>
        <vertAlign val="superscript"/>
        <sz val="9"/>
        <color indexed="60"/>
        <rFont val="Arial"/>
      </rPr>
      <t>**</t>
    </r>
  </si>
  <si>
    <r>
      <t>.465</t>
    </r>
    <r>
      <rPr>
        <vertAlign val="superscript"/>
        <sz val="9"/>
        <color indexed="60"/>
        <rFont val="Arial"/>
      </rPr>
      <t>**</t>
    </r>
  </si>
  <si>
    <r>
      <t>.476</t>
    </r>
    <r>
      <rPr>
        <vertAlign val="superscript"/>
        <sz val="9"/>
        <color indexed="60"/>
        <rFont val="Arial"/>
      </rPr>
      <t>**</t>
    </r>
  </si>
  <si>
    <r>
      <t>.531</t>
    </r>
    <r>
      <rPr>
        <vertAlign val="superscript"/>
        <sz val="9"/>
        <color indexed="60"/>
        <rFont val="Arial"/>
      </rPr>
      <t>**</t>
    </r>
  </si>
  <si>
    <r>
      <t>.316</t>
    </r>
    <r>
      <rPr>
        <vertAlign val="superscript"/>
        <sz val="9"/>
        <color indexed="60"/>
        <rFont val="Arial"/>
      </rPr>
      <t>**</t>
    </r>
  </si>
  <si>
    <r>
      <t>.453</t>
    </r>
    <r>
      <rPr>
        <vertAlign val="superscript"/>
        <sz val="9"/>
        <color indexed="60"/>
        <rFont val="Arial"/>
      </rPr>
      <t>**</t>
    </r>
  </si>
  <si>
    <r>
      <t>.372</t>
    </r>
    <r>
      <rPr>
        <vertAlign val="superscript"/>
        <sz val="9"/>
        <color indexed="60"/>
        <rFont val="Arial"/>
      </rPr>
      <t>**</t>
    </r>
  </si>
  <si>
    <r>
      <t>.455</t>
    </r>
    <r>
      <rPr>
        <vertAlign val="superscript"/>
        <sz val="9"/>
        <color indexed="60"/>
        <rFont val="Arial"/>
      </rPr>
      <t>**</t>
    </r>
  </si>
  <si>
    <r>
      <t>.204</t>
    </r>
    <r>
      <rPr>
        <vertAlign val="superscript"/>
        <sz val="9"/>
        <color indexed="60"/>
        <rFont val="Arial"/>
      </rPr>
      <t>*</t>
    </r>
  </si>
  <si>
    <r>
      <t>.748</t>
    </r>
    <r>
      <rPr>
        <vertAlign val="superscript"/>
        <sz val="9"/>
        <color indexed="60"/>
        <rFont val="Arial"/>
      </rPr>
      <t>**</t>
    </r>
  </si>
  <si>
    <r>
      <t>.457</t>
    </r>
    <r>
      <rPr>
        <vertAlign val="superscript"/>
        <sz val="9"/>
        <color indexed="60"/>
        <rFont val="Arial"/>
      </rPr>
      <t>**</t>
    </r>
  </si>
  <si>
    <r>
      <t>.475</t>
    </r>
    <r>
      <rPr>
        <vertAlign val="superscript"/>
        <sz val="9"/>
        <color indexed="60"/>
        <rFont val="Arial"/>
      </rPr>
      <t>**</t>
    </r>
  </si>
  <si>
    <r>
      <t>.394</t>
    </r>
    <r>
      <rPr>
        <vertAlign val="superscript"/>
        <sz val="9"/>
        <color indexed="60"/>
        <rFont val="Arial"/>
      </rPr>
      <t>**</t>
    </r>
  </si>
  <si>
    <r>
      <t>.385</t>
    </r>
    <r>
      <rPr>
        <vertAlign val="superscript"/>
        <sz val="9"/>
        <color indexed="60"/>
        <rFont val="Arial"/>
      </rPr>
      <t>**</t>
    </r>
  </si>
  <si>
    <r>
      <t>.299</t>
    </r>
    <r>
      <rPr>
        <vertAlign val="superscript"/>
        <sz val="9"/>
        <color indexed="60"/>
        <rFont val="Arial"/>
      </rPr>
      <t>**</t>
    </r>
  </si>
  <si>
    <r>
      <t>.423</t>
    </r>
    <r>
      <rPr>
        <vertAlign val="superscript"/>
        <sz val="9"/>
        <color indexed="60"/>
        <rFont val="Arial"/>
      </rPr>
      <t>**</t>
    </r>
  </si>
  <si>
    <r>
      <t>.257</t>
    </r>
    <r>
      <rPr>
        <vertAlign val="superscript"/>
        <sz val="9"/>
        <color indexed="60"/>
        <rFont val="Arial"/>
      </rPr>
      <t>*</t>
    </r>
  </si>
  <si>
    <r>
      <t>.733</t>
    </r>
    <r>
      <rPr>
        <vertAlign val="superscript"/>
        <sz val="9"/>
        <color indexed="60"/>
        <rFont val="Arial"/>
      </rPr>
      <t>**</t>
    </r>
  </si>
  <si>
    <r>
      <t>.732</t>
    </r>
    <r>
      <rPr>
        <vertAlign val="superscript"/>
        <sz val="9"/>
        <color indexed="60"/>
        <rFont val="Arial"/>
      </rPr>
      <t>**</t>
    </r>
  </si>
  <si>
    <r>
      <t>.516</t>
    </r>
    <r>
      <rPr>
        <vertAlign val="superscript"/>
        <sz val="9"/>
        <color indexed="60"/>
        <rFont val="Arial"/>
      </rPr>
      <t>**</t>
    </r>
  </si>
  <si>
    <r>
      <t>.478</t>
    </r>
    <r>
      <rPr>
        <vertAlign val="superscript"/>
        <sz val="9"/>
        <color indexed="60"/>
        <rFont val="Arial"/>
      </rPr>
      <t>**</t>
    </r>
  </si>
  <si>
    <r>
      <t>.704</t>
    </r>
    <r>
      <rPr>
        <vertAlign val="superscript"/>
        <sz val="9"/>
        <color indexed="60"/>
        <rFont val="Arial"/>
      </rPr>
      <t>**</t>
    </r>
  </si>
  <si>
    <r>
      <t>.621</t>
    </r>
    <r>
      <rPr>
        <vertAlign val="superscript"/>
        <sz val="9"/>
        <color indexed="60"/>
        <rFont val="Arial"/>
      </rPr>
      <t>**</t>
    </r>
  </si>
  <si>
    <r>
      <t>.560</t>
    </r>
    <r>
      <rPr>
        <vertAlign val="superscript"/>
        <sz val="9"/>
        <color indexed="60"/>
        <rFont val="Arial"/>
      </rPr>
      <t>**</t>
    </r>
  </si>
  <si>
    <r>
      <t>.611</t>
    </r>
    <r>
      <rPr>
        <vertAlign val="superscript"/>
        <sz val="9"/>
        <color indexed="60"/>
        <rFont val="Arial"/>
      </rPr>
      <t>**</t>
    </r>
  </si>
  <si>
    <r>
      <t>.566</t>
    </r>
    <r>
      <rPr>
        <vertAlign val="superscript"/>
        <sz val="9"/>
        <color indexed="60"/>
        <rFont val="Arial"/>
      </rPr>
      <t>**</t>
    </r>
  </si>
  <si>
    <r>
      <t>.768</t>
    </r>
    <r>
      <rPr>
        <vertAlign val="superscript"/>
        <sz val="9"/>
        <color indexed="60"/>
        <rFont val="Arial"/>
      </rPr>
      <t>**</t>
    </r>
  </si>
  <si>
    <r>
      <t>.557</t>
    </r>
    <r>
      <rPr>
        <vertAlign val="superscript"/>
        <sz val="9"/>
        <color indexed="60"/>
        <rFont val="Arial"/>
      </rPr>
      <t>**</t>
    </r>
  </si>
  <si>
    <r>
      <t>.569</t>
    </r>
    <r>
      <rPr>
        <vertAlign val="superscript"/>
        <sz val="9"/>
        <color indexed="60"/>
        <rFont val="Arial"/>
      </rPr>
      <t>**</t>
    </r>
  </si>
  <si>
    <r>
      <t>.745</t>
    </r>
    <r>
      <rPr>
        <vertAlign val="superscript"/>
        <sz val="9"/>
        <color indexed="60"/>
        <rFont val="Arial"/>
      </rPr>
      <t>**</t>
    </r>
  </si>
  <si>
    <r>
      <t>.583</t>
    </r>
    <r>
      <rPr>
        <vertAlign val="superscript"/>
        <sz val="9"/>
        <color indexed="60"/>
        <rFont val="Arial"/>
      </rPr>
      <t>**</t>
    </r>
  </si>
  <si>
    <r>
      <t>.548</t>
    </r>
    <r>
      <rPr>
        <vertAlign val="superscript"/>
        <sz val="9"/>
        <color indexed="60"/>
        <rFont val="Arial"/>
      </rPr>
      <t>**</t>
    </r>
  </si>
  <si>
    <r>
      <t>.672</t>
    </r>
    <r>
      <rPr>
        <vertAlign val="superscript"/>
        <sz val="9"/>
        <color indexed="60"/>
        <rFont val="Arial"/>
      </rPr>
      <t>**</t>
    </r>
  </si>
  <si>
    <r>
      <t>.818</t>
    </r>
    <r>
      <rPr>
        <vertAlign val="superscript"/>
        <sz val="9"/>
        <color indexed="60"/>
        <rFont val="Arial"/>
      </rPr>
      <t>**</t>
    </r>
  </si>
  <si>
    <r>
      <t>.760</t>
    </r>
    <r>
      <rPr>
        <vertAlign val="superscript"/>
        <sz val="9"/>
        <color indexed="60"/>
        <rFont val="Arial"/>
      </rPr>
      <t>**</t>
    </r>
  </si>
  <si>
    <r>
      <t>.716</t>
    </r>
    <r>
      <rPr>
        <vertAlign val="superscript"/>
        <sz val="9"/>
        <color indexed="60"/>
        <rFont val="Arial"/>
      </rPr>
      <t>**</t>
    </r>
  </si>
  <si>
    <r>
      <t>.744</t>
    </r>
    <r>
      <rPr>
        <vertAlign val="superscript"/>
        <sz val="9"/>
        <color indexed="60"/>
        <rFont val="Arial"/>
      </rPr>
      <t>**</t>
    </r>
  </si>
  <si>
    <r>
      <t>.496</t>
    </r>
    <r>
      <rPr>
        <vertAlign val="superscript"/>
        <sz val="9"/>
        <color indexed="60"/>
        <rFont val="Arial"/>
      </rPr>
      <t>**</t>
    </r>
  </si>
  <si>
    <r>
      <t>.333</t>
    </r>
    <r>
      <rPr>
        <vertAlign val="superscript"/>
        <sz val="9"/>
        <color indexed="60"/>
        <rFont val="Arial"/>
      </rPr>
      <t>**</t>
    </r>
  </si>
  <si>
    <t>X2.1</t>
  </si>
  <si>
    <t>X2.2</t>
  </si>
  <si>
    <t>X2.3</t>
  </si>
  <si>
    <t>X2.4</t>
  </si>
  <si>
    <t>X2.5</t>
  </si>
  <si>
    <t>X2.6</t>
  </si>
  <si>
    <t>X2.7</t>
  </si>
  <si>
    <t>X2.8</t>
  </si>
  <si>
    <t>X2.9</t>
  </si>
  <si>
    <t>X2.10</t>
  </si>
  <si>
    <t>Fasilitas</t>
  </si>
  <si>
    <r>
      <t>.511</t>
    </r>
    <r>
      <rPr>
        <vertAlign val="superscript"/>
        <sz val="9"/>
        <color indexed="60"/>
        <rFont val="Arial"/>
      </rPr>
      <t>**</t>
    </r>
  </si>
  <si>
    <r>
      <t>.523</t>
    </r>
    <r>
      <rPr>
        <vertAlign val="superscript"/>
        <sz val="9"/>
        <color indexed="60"/>
        <rFont val="Arial"/>
      </rPr>
      <t>**</t>
    </r>
  </si>
  <si>
    <r>
      <t>.638</t>
    </r>
    <r>
      <rPr>
        <vertAlign val="superscript"/>
        <sz val="9"/>
        <color indexed="60"/>
        <rFont val="Arial"/>
      </rPr>
      <t>**</t>
    </r>
  </si>
  <si>
    <r>
      <t>.425</t>
    </r>
    <r>
      <rPr>
        <vertAlign val="superscript"/>
        <sz val="9"/>
        <color indexed="60"/>
        <rFont val="Arial"/>
      </rPr>
      <t>**</t>
    </r>
  </si>
  <si>
    <r>
      <t>.326</t>
    </r>
    <r>
      <rPr>
        <vertAlign val="superscript"/>
        <sz val="9"/>
        <color indexed="60"/>
        <rFont val="Arial"/>
      </rPr>
      <t>**</t>
    </r>
  </si>
  <si>
    <r>
      <t>.329</t>
    </r>
    <r>
      <rPr>
        <vertAlign val="superscript"/>
        <sz val="9"/>
        <color indexed="60"/>
        <rFont val="Arial"/>
      </rPr>
      <t>**</t>
    </r>
  </si>
  <si>
    <r>
      <t>.570</t>
    </r>
    <r>
      <rPr>
        <vertAlign val="superscript"/>
        <sz val="9"/>
        <color indexed="60"/>
        <rFont val="Arial"/>
      </rPr>
      <t>**</t>
    </r>
  </si>
  <si>
    <r>
      <t>.340</t>
    </r>
    <r>
      <rPr>
        <vertAlign val="superscript"/>
        <sz val="9"/>
        <color indexed="60"/>
        <rFont val="Arial"/>
      </rPr>
      <t>**</t>
    </r>
  </si>
  <si>
    <r>
      <t>.624</t>
    </r>
    <r>
      <rPr>
        <vertAlign val="superscript"/>
        <sz val="9"/>
        <color indexed="60"/>
        <rFont val="Arial"/>
      </rPr>
      <t>**</t>
    </r>
  </si>
  <si>
    <r>
      <t>.259</t>
    </r>
    <r>
      <rPr>
        <vertAlign val="superscript"/>
        <sz val="9"/>
        <color indexed="60"/>
        <rFont val="Arial"/>
      </rPr>
      <t>**</t>
    </r>
  </si>
  <si>
    <r>
      <t>.282</t>
    </r>
    <r>
      <rPr>
        <vertAlign val="superscript"/>
        <sz val="9"/>
        <color indexed="60"/>
        <rFont val="Arial"/>
      </rPr>
      <t>**</t>
    </r>
  </si>
  <si>
    <r>
      <t>.218</t>
    </r>
    <r>
      <rPr>
        <vertAlign val="superscript"/>
        <sz val="9"/>
        <color indexed="60"/>
        <rFont val="Arial"/>
      </rPr>
      <t>*</t>
    </r>
  </si>
  <si>
    <r>
      <t>.229</t>
    </r>
    <r>
      <rPr>
        <vertAlign val="superscript"/>
        <sz val="9"/>
        <color indexed="60"/>
        <rFont val="Arial"/>
      </rPr>
      <t>*</t>
    </r>
  </si>
  <si>
    <r>
      <t>.419</t>
    </r>
    <r>
      <rPr>
        <vertAlign val="superscript"/>
        <sz val="9"/>
        <color indexed="60"/>
        <rFont val="Arial"/>
      </rPr>
      <t>**</t>
    </r>
  </si>
  <si>
    <r>
      <t>.200</t>
    </r>
    <r>
      <rPr>
        <vertAlign val="superscript"/>
        <sz val="9"/>
        <color indexed="60"/>
        <rFont val="Arial"/>
      </rPr>
      <t>*</t>
    </r>
  </si>
  <si>
    <r>
      <t>.205</t>
    </r>
    <r>
      <rPr>
        <vertAlign val="superscript"/>
        <sz val="9"/>
        <color indexed="60"/>
        <rFont val="Arial"/>
      </rPr>
      <t>*</t>
    </r>
  </si>
  <si>
    <r>
      <t>.509</t>
    </r>
    <r>
      <rPr>
        <vertAlign val="superscript"/>
        <sz val="9"/>
        <color indexed="60"/>
        <rFont val="Arial"/>
      </rPr>
      <t>**</t>
    </r>
  </si>
  <si>
    <r>
      <t>.870</t>
    </r>
    <r>
      <rPr>
        <vertAlign val="superscript"/>
        <sz val="9"/>
        <color indexed="60"/>
        <rFont val="Arial"/>
      </rPr>
      <t>**</t>
    </r>
  </si>
  <si>
    <r>
      <t>.687</t>
    </r>
    <r>
      <rPr>
        <vertAlign val="superscript"/>
        <sz val="9"/>
        <color indexed="60"/>
        <rFont val="Arial"/>
      </rPr>
      <t>**</t>
    </r>
  </si>
  <si>
    <r>
      <t>.442</t>
    </r>
    <r>
      <rPr>
        <vertAlign val="superscript"/>
        <sz val="9"/>
        <color indexed="60"/>
        <rFont val="Arial"/>
      </rPr>
      <t>**</t>
    </r>
  </si>
  <si>
    <r>
      <t>.339</t>
    </r>
    <r>
      <rPr>
        <vertAlign val="superscript"/>
        <sz val="9"/>
        <color indexed="60"/>
        <rFont val="Arial"/>
      </rPr>
      <t>**</t>
    </r>
  </si>
  <si>
    <r>
      <t>.767</t>
    </r>
    <r>
      <rPr>
        <vertAlign val="superscript"/>
        <sz val="9"/>
        <color indexed="60"/>
        <rFont val="Arial"/>
      </rPr>
      <t>**</t>
    </r>
  </si>
  <si>
    <r>
      <t>.746</t>
    </r>
    <r>
      <rPr>
        <vertAlign val="superscript"/>
        <sz val="9"/>
        <color indexed="60"/>
        <rFont val="Arial"/>
      </rPr>
      <t>**</t>
    </r>
  </si>
  <si>
    <r>
      <t>.458</t>
    </r>
    <r>
      <rPr>
        <vertAlign val="superscript"/>
        <sz val="9"/>
        <color indexed="60"/>
        <rFont val="Arial"/>
      </rPr>
      <t>**</t>
    </r>
  </si>
  <si>
    <r>
      <t>.347</t>
    </r>
    <r>
      <rPr>
        <vertAlign val="superscript"/>
        <sz val="9"/>
        <color indexed="60"/>
        <rFont val="Arial"/>
      </rPr>
      <t>**</t>
    </r>
  </si>
  <si>
    <r>
      <t>.261</t>
    </r>
    <r>
      <rPr>
        <vertAlign val="superscript"/>
        <sz val="9"/>
        <color indexed="60"/>
        <rFont val="Arial"/>
      </rPr>
      <t>**</t>
    </r>
  </si>
  <si>
    <r>
      <t>.781</t>
    </r>
    <r>
      <rPr>
        <vertAlign val="superscript"/>
        <sz val="9"/>
        <color indexed="60"/>
        <rFont val="Arial"/>
      </rPr>
      <t>**</t>
    </r>
  </si>
  <si>
    <r>
      <t>.428</t>
    </r>
    <r>
      <rPr>
        <vertAlign val="superscript"/>
        <sz val="9"/>
        <color indexed="60"/>
        <rFont val="Arial"/>
      </rPr>
      <t>**</t>
    </r>
  </si>
  <si>
    <r>
      <t>.388</t>
    </r>
    <r>
      <rPr>
        <vertAlign val="superscript"/>
        <sz val="9"/>
        <color indexed="60"/>
        <rFont val="Arial"/>
      </rPr>
      <t>**</t>
    </r>
  </si>
  <si>
    <r>
      <t>.331</t>
    </r>
    <r>
      <rPr>
        <vertAlign val="superscript"/>
        <sz val="9"/>
        <color indexed="60"/>
        <rFont val="Arial"/>
      </rPr>
      <t>**</t>
    </r>
  </si>
  <si>
    <r>
      <t>.345</t>
    </r>
    <r>
      <rPr>
        <vertAlign val="superscript"/>
        <sz val="9"/>
        <color indexed="60"/>
        <rFont val="Arial"/>
      </rPr>
      <t>**</t>
    </r>
  </si>
  <si>
    <r>
      <t>.815</t>
    </r>
    <r>
      <rPr>
        <vertAlign val="superscript"/>
        <sz val="9"/>
        <color indexed="60"/>
        <rFont val="Arial"/>
      </rPr>
      <t>**</t>
    </r>
  </si>
  <si>
    <r>
      <t>.538</t>
    </r>
    <r>
      <rPr>
        <vertAlign val="superscript"/>
        <sz val="9"/>
        <color indexed="60"/>
        <rFont val="Arial"/>
      </rPr>
      <t>**</t>
    </r>
  </si>
  <si>
    <r>
      <t>.297</t>
    </r>
    <r>
      <rPr>
        <vertAlign val="superscript"/>
        <sz val="9"/>
        <color indexed="60"/>
        <rFont val="Arial"/>
      </rPr>
      <t>**</t>
    </r>
  </si>
  <si>
    <r>
      <t>.330</t>
    </r>
    <r>
      <rPr>
        <vertAlign val="superscript"/>
        <sz val="9"/>
        <color indexed="60"/>
        <rFont val="Arial"/>
      </rPr>
      <t>**</t>
    </r>
  </si>
  <si>
    <r>
      <t>.664</t>
    </r>
    <r>
      <rPr>
        <vertAlign val="superscript"/>
        <sz val="9"/>
        <color indexed="60"/>
        <rFont val="Arial"/>
      </rPr>
      <t>**</t>
    </r>
  </si>
  <si>
    <r>
      <t>.503</t>
    </r>
    <r>
      <rPr>
        <vertAlign val="superscript"/>
        <sz val="9"/>
        <color indexed="60"/>
        <rFont val="Arial"/>
      </rPr>
      <t>**</t>
    </r>
  </si>
  <si>
    <r>
      <t>.443</t>
    </r>
    <r>
      <rPr>
        <vertAlign val="superscript"/>
        <sz val="9"/>
        <color indexed="60"/>
        <rFont val="Arial"/>
      </rPr>
      <t>**</t>
    </r>
  </si>
  <si>
    <r>
      <t>.644</t>
    </r>
    <r>
      <rPr>
        <vertAlign val="superscript"/>
        <sz val="9"/>
        <color indexed="60"/>
        <rFont val="Arial"/>
      </rPr>
      <t>**</t>
    </r>
  </si>
  <si>
    <r>
      <t>.798</t>
    </r>
    <r>
      <rPr>
        <vertAlign val="superscript"/>
        <sz val="9"/>
        <color indexed="60"/>
        <rFont val="Arial"/>
      </rPr>
      <t>**</t>
    </r>
  </si>
  <si>
    <r>
      <t>.504</t>
    </r>
    <r>
      <rPr>
        <vertAlign val="superscript"/>
        <sz val="9"/>
        <color indexed="60"/>
        <rFont val="Arial"/>
      </rPr>
      <t>**</t>
    </r>
  </si>
  <si>
    <r>
      <t>.597</t>
    </r>
    <r>
      <rPr>
        <vertAlign val="superscript"/>
        <sz val="9"/>
        <color indexed="60"/>
        <rFont val="Arial"/>
      </rPr>
      <t>**</t>
    </r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</si>
  <si>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</si>
  <si>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</si>
  <si>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</si>
  <si>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</si>
  <si>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</si>
  <si>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</si>
  <si>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</si>
  <si>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</si>
  <si>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</si>
  <si>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</si>
  <si>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Kepuasan Penumpang</t>
  </si>
  <si>
    <r>
      <t>.680</t>
    </r>
    <r>
      <rPr>
        <vertAlign val="superscript"/>
        <sz val="9"/>
        <color indexed="60"/>
        <rFont val="Arial"/>
      </rPr>
      <t>**</t>
    </r>
  </si>
  <si>
    <r>
      <t>.199</t>
    </r>
    <r>
      <rPr>
        <vertAlign val="superscript"/>
        <sz val="9"/>
        <color indexed="60"/>
        <rFont val="Arial"/>
      </rPr>
      <t>*</t>
    </r>
  </si>
  <si>
    <r>
      <t>.215</t>
    </r>
    <r>
      <rPr>
        <vertAlign val="superscript"/>
        <sz val="9"/>
        <color indexed="60"/>
        <rFont val="Arial"/>
      </rPr>
      <t>*</t>
    </r>
  </si>
  <si>
    <r>
      <t>.225</t>
    </r>
    <r>
      <rPr>
        <vertAlign val="superscript"/>
        <sz val="9"/>
        <color indexed="60"/>
        <rFont val="Arial"/>
      </rPr>
      <t>*</t>
    </r>
  </si>
  <si>
    <r>
      <t>.401</t>
    </r>
    <r>
      <rPr>
        <vertAlign val="superscript"/>
        <sz val="9"/>
        <color indexed="60"/>
        <rFont val="Arial"/>
      </rPr>
      <t>**</t>
    </r>
  </si>
  <si>
    <r>
      <t>.273</t>
    </r>
    <r>
      <rPr>
        <vertAlign val="superscript"/>
        <sz val="9"/>
        <color indexed="60"/>
        <rFont val="Arial"/>
      </rPr>
      <t>**</t>
    </r>
  </si>
  <si>
    <r>
      <t>.256</t>
    </r>
    <r>
      <rPr>
        <vertAlign val="superscript"/>
        <sz val="9"/>
        <color indexed="60"/>
        <rFont val="Arial"/>
      </rPr>
      <t>*</t>
    </r>
  </si>
  <si>
    <r>
      <t>.375</t>
    </r>
    <r>
      <rPr>
        <vertAlign val="superscript"/>
        <sz val="9"/>
        <color indexed="60"/>
        <rFont val="Arial"/>
      </rPr>
      <t>**</t>
    </r>
  </si>
  <si>
    <r>
      <t>.294</t>
    </r>
    <r>
      <rPr>
        <vertAlign val="superscript"/>
        <sz val="9"/>
        <color indexed="60"/>
        <rFont val="Arial"/>
      </rPr>
      <t>**</t>
    </r>
  </si>
  <si>
    <r>
      <t>.396</t>
    </r>
    <r>
      <rPr>
        <vertAlign val="superscript"/>
        <sz val="9"/>
        <color indexed="60"/>
        <rFont val="Arial"/>
      </rPr>
      <t>**</t>
    </r>
  </si>
  <si>
    <r>
      <t>.231</t>
    </r>
    <r>
      <rPr>
        <vertAlign val="superscript"/>
        <sz val="9"/>
        <color indexed="60"/>
        <rFont val="Arial"/>
      </rPr>
      <t>*</t>
    </r>
  </si>
  <si>
    <r>
      <t>.553</t>
    </r>
    <r>
      <rPr>
        <vertAlign val="superscript"/>
        <sz val="9"/>
        <color indexed="60"/>
        <rFont val="Arial"/>
      </rPr>
      <t>**</t>
    </r>
  </si>
  <si>
    <r>
      <t>.637</t>
    </r>
    <r>
      <rPr>
        <vertAlign val="superscript"/>
        <sz val="9"/>
        <color indexed="60"/>
        <rFont val="Arial"/>
      </rPr>
      <t>**</t>
    </r>
  </si>
  <si>
    <r>
      <t>.580</t>
    </r>
    <r>
      <rPr>
        <vertAlign val="superscript"/>
        <sz val="9"/>
        <color indexed="60"/>
        <rFont val="Arial"/>
      </rPr>
      <t>**</t>
    </r>
  </si>
  <si>
    <r>
      <t>.725</t>
    </r>
    <r>
      <rPr>
        <vertAlign val="superscript"/>
        <sz val="9"/>
        <color indexed="60"/>
        <rFont val="Arial"/>
      </rPr>
      <t>**</t>
    </r>
  </si>
  <si>
    <r>
      <t>.595</t>
    </r>
    <r>
      <rPr>
        <vertAlign val="superscript"/>
        <sz val="9"/>
        <color indexed="60"/>
        <rFont val="Arial"/>
      </rPr>
      <t>**</t>
    </r>
  </si>
  <si>
    <r>
      <t>.807</t>
    </r>
    <r>
      <rPr>
        <vertAlign val="superscript"/>
        <sz val="9"/>
        <color indexed="60"/>
        <rFont val="Arial"/>
      </rPr>
      <t>**</t>
    </r>
  </si>
  <si>
    <r>
      <t>.652</t>
    </r>
    <r>
      <rPr>
        <vertAlign val="superscript"/>
        <sz val="9"/>
        <color indexed="60"/>
        <rFont val="Arial"/>
      </rPr>
      <t>**</t>
    </r>
  </si>
  <si>
    <r>
      <t>.738</t>
    </r>
    <r>
      <rPr>
        <vertAlign val="superscript"/>
        <sz val="9"/>
        <color indexed="60"/>
        <rFont val="Arial"/>
      </rPr>
      <t>**</t>
    </r>
  </si>
  <si>
    <r>
      <t>.608</t>
    </r>
    <r>
      <rPr>
        <vertAlign val="superscript"/>
        <sz val="9"/>
        <color indexed="60"/>
        <rFont val="Arial"/>
      </rPr>
      <t>**</t>
    </r>
  </si>
  <si>
    <r>
      <t>.628</t>
    </r>
    <r>
      <rPr>
        <vertAlign val="superscript"/>
        <sz val="9"/>
        <color indexed="60"/>
        <rFont val="Arial"/>
      </rPr>
      <t>**</t>
    </r>
  </si>
  <si>
    <r>
      <t>.612</t>
    </r>
    <r>
      <rPr>
        <vertAlign val="superscript"/>
        <sz val="9"/>
        <color indexed="60"/>
        <rFont val="Arial"/>
      </rPr>
      <t>**</t>
    </r>
  </si>
  <si>
    <r>
      <t>.777</t>
    </r>
    <r>
      <rPr>
        <vertAlign val="superscript"/>
        <sz val="9"/>
        <color indexed="60"/>
        <rFont val="Arial"/>
      </rPr>
      <t>**</t>
    </r>
  </si>
  <si>
    <r>
      <t>.722</t>
    </r>
    <r>
      <rPr>
        <vertAlign val="superscript"/>
        <sz val="9"/>
        <color indexed="60"/>
        <rFont val="Arial"/>
      </rPr>
      <t>**</t>
    </r>
  </si>
  <si>
    <r>
      <t>.656</t>
    </r>
    <r>
      <rPr>
        <vertAlign val="superscript"/>
        <sz val="9"/>
        <color indexed="60"/>
        <rFont val="Arial"/>
      </rPr>
      <t>**</t>
    </r>
  </si>
  <si>
    <r>
      <t>.772</t>
    </r>
    <r>
      <rPr>
        <vertAlign val="superscript"/>
        <sz val="9"/>
        <color indexed="60"/>
        <rFont val="Arial"/>
      </rPr>
      <t>**</t>
    </r>
  </si>
  <si>
    <r>
      <t>.822</t>
    </r>
    <r>
      <rPr>
        <vertAlign val="superscript"/>
        <sz val="9"/>
        <color indexed="60"/>
        <rFont val="Arial"/>
      </rPr>
      <t>**</t>
    </r>
  </si>
  <si>
    <r>
      <t>.797</t>
    </r>
    <r>
      <rPr>
        <vertAlign val="superscript"/>
        <sz val="9"/>
        <color indexed="60"/>
        <rFont val="Arial"/>
      </rPr>
      <t>**</t>
    </r>
  </si>
  <si>
    <r>
      <t>.662</t>
    </r>
    <r>
      <rPr>
        <vertAlign val="superscript"/>
        <sz val="9"/>
        <color indexed="60"/>
        <rFont val="Arial"/>
      </rPr>
      <t>**</t>
    </r>
  </si>
  <si>
    <r>
      <t>.605</t>
    </r>
    <r>
      <rPr>
        <vertAlign val="superscript"/>
        <sz val="9"/>
        <color indexed="60"/>
        <rFont val="Arial"/>
      </rPr>
      <t>**</t>
    </r>
  </si>
  <si>
    <r>
      <t>.885</t>
    </r>
    <r>
      <rPr>
        <vertAlign val="superscript"/>
        <sz val="9"/>
        <color indexed="60"/>
        <rFont val="Arial"/>
      </rPr>
      <t>**</t>
    </r>
  </si>
  <si>
    <r>
      <t>.711</t>
    </r>
    <r>
      <rPr>
        <vertAlign val="superscript"/>
        <sz val="9"/>
        <color indexed="60"/>
        <rFont val="Arial"/>
      </rPr>
      <t>**</t>
    </r>
  </si>
  <si>
    <r>
      <t>.838</t>
    </r>
    <r>
      <rPr>
        <vertAlign val="superscript"/>
        <sz val="9"/>
        <color indexed="60"/>
        <rFont val="Arial"/>
      </rPr>
      <t>**</t>
    </r>
  </si>
  <si>
    <r>
      <t>.821</t>
    </r>
    <r>
      <rPr>
        <vertAlign val="superscript"/>
        <sz val="9"/>
        <color indexed="60"/>
        <rFont val="Arial"/>
      </rPr>
      <t>**</t>
    </r>
  </si>
  <si>
    <r>
      <t>.890</t>
    </r>
    <r>
      <rPr>
        <vertAlign val="superscript"/>
        <sz val="9"/>
        <color indexed="60"/>
        <rFont val="Arial"/>
      </rPr>
      <t>**</t>
    </r>
  </si>
  <si>
    <r>
      <t>.848</t>
    </r>
    <r>
      <rPr>
        <vertAlign val="superscript"/>
        <sz val="9"/>
        <color indexed="60"/>
        <rFont val="Arial"/>
      </rPr>
      <t>**</t>
    </r>
  </si>
  <si>
    <r>
      <t>.826</t>
    </r>
    <r>
      <rPr>
        <vertAlign val="superscript"/>
        <sz val="9"/>
        <color indexed="60"/>
        <rFont val="Arial"/>
      </rPr>
      <t>**</t>
    </r>
  </si>
  <si>
    <r>
      <t>.742</t>
    </r>
    <r>
      <rPr>
        <vertAlign val="superscript"/>
        <sz val="9"/>
        <color indexed="60"/>
        <rFont val="Arial"/>
      </rPr>
      <t>**</t>
    </r>
  </si>
  <si>
    <t>Reliability Statistics</t>
  </si>
  <si>
    <t>Cronbach's Alpha</t>
  </si>
  <si>
    <t>N of Items</t>
  </si>
  <si>
    <t>X1</t>
  </si>
  <si>
    <t>Pearson</t>
  </si>
  <si>
    <t>p-value</t>
  </si>
  <si>
    <t>Keterangan</t>
  </si>
  <si>
    <t>X2</t>
  </si>
  <si>
    <t>Y</t>
  </si>
  <si>
    <t>0,748**</t>
  </si>
  <si>
    <t>0,733**</t>
  </si>
  <si>
    <t>0,704**</t>
  </si>
  <si>
    <t>0,768**</t>
  </si>
  <si>
    <t>0,745**</t>
  </si>
  <si>
    <t>0,672**</t>
  </si>
  <si>
    <t>0,760**</t>
  </si>
  <si>
    <t>0,716**</t>
  </si>
  <si>
    <t>0,496**</t>
  </si>
  <si>
    <t>0,333**</t>
  </si>
  <si>
    <t>0,624**</t>
  </si>
  <si>
    <t>0,509**</t>
  </si>
  <si>
    <t>0,767**</t>
  </si>
  <si>
    <t>0,781**</t>
  </si>
  <si>
    <t>0,815**</t>
  </si>
  <si>
    <t>0,664**</t>
  </si>
  <si>
    <t>0,644**</t>
  </si>
  <si>
    <t>0,504**</t>
  </si>
  <si>
    <t>0,597**</t>
  </si>
  <si>
    <t>0,401**</t>
  </si>
  <si>
    <t>0,553**</t>
  </si>
  <si>
    <t>0,807**</t>
  </si>
  <si>
    <t>0,777**</t>
  </si>
  <si>
    <t>0,772**</t>
  </si>
  <si>
    <t>0,885**</t>
  </si>
  <si>
    <t>0,838**</t>
  </si>
  <si>
    <t>0,890**</t>
  </si>
  <si>
    <t>0,826**</t>
  </si>
  <si>
    <t>0,742**</t>
  </si>
  <si>
    <t>Variabel</t>
  </si>
  <si>
    <t>Kepuasan Pelanggan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</si>
</sst>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_);_(* \(#,##0\);_(* &quot;-&quot;_);_(@_)"/>
    <numFmt numFmtId="168" formatCode="###0"/>
    <numFmt numFmtId="169" formatCode="###0.0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  <font>
      <vertAlign val="superscript"/>
      <sz val="9"/>
      <color indexed="6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7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168" fontId="4" fillId="0" borderId="7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right" vertical="top"/>
    </xf>
    <xf numFmtId="0" fontId="4" fillId="0" borderId="9" xfId="1" applyFont="1" applyBorder="1" applyAlignment="1">
      <alignment horizontal="right" vertical="top"/>
    </xf>
    <xf numFmtId="0" fontId="3" fillId="2" borderId="10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169" fontId="4" fillId="0" borderId="12" xfId="1" applyNumberFormat="1" applyFont="1" applyBorder="1" applyAlignment="1">
      <alignment horizontal="right" vertical="top"/>
    </xf>
    <xf numFmtId="169" fontId="4" fillId="0" borderId="13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168" fontId="4" fillId="0" borderId="15" xfId="1" applyNumberFormat="1" applyFont="1" applyBorder="1" applyAlignment="1">
      <alignment horizontal="right" vertical="top"/>
    </xf>
    <xf numFmtId="168" fontId="4" fillId="0" borderId="16" xfId="1" applyNumberFormat="1" applyFont="1" applyBorder="1" applyAlignment="1">
      <alignment horizontal="right" vertical="top"/>
    </xf>
    <xf numFmtId="168" fontId="4" fillId="0" borderId="17" xfId="1" applyNumberFormat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168" fontId="4" fillId="0" borderId="12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right" vertical="top"/>
    </xf>
    <xf numFmtId="0" fontId="4" fillId="0" borderId="13" xfId="1" applyFont="1" applyBorder="1" applyAlignment="1">
      <alignment horizontal="right" vertical="top"/>
    </xf>
    <xf numFmtId="169" fontId="4" fillId="0" borderId="11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left" vertical="top" wrapText="1"/>
    </xf>
    <xf numFmtId="168" fontId="4" fillId="0" borderId="13" xfId="1" applyNumberFormat="1" applyFont="1" applyBorder="1" applyAlignment="1">
      <alignment horizontal="right" vertical="top"/>
    </xf>
    <xf numFmtId="0" fontId="4" fillId="0" borderId="13" xfId="1" applyFont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168" fontId="4" fillId="0" borderId="19" xfId="1" applyNumberFormat="1" applyFont="1" applyBorder="1" applyAlignment="1">
      <alignment horizontal="right" vertical="top"/>
    </xf>
    <xf numFmtId="168" fontId="4" fillId="0" borderId="20" xfId="1" applyNumberFormat="1" applyFont="1" applyBorder="1" applyAlignment="1">
      <alignment horizontal="right" vertical="top"/>
    </xf>
    <xf numFmtId="168" fontId="4" fillId="0" borderId="21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left" vertical="top" wrapText="1"/>
    </xf>
    <xf numFmtId="0" fontId="2" fillId="0" borderId="0" xfId="2" applyFont="1" applyBorder="1" applyAlignment="1">
      <alignment horizontal="center" vertical="center" wrapText="1"/>
    </xf>
    <xf numFmtId="0" fontId="1" fillId="0" borderId="0" xfId="2"/>
    <xf numFmtId="0" fontId="3" fillId="0" borderId="1" xfId="2" applyFont="1" applyBorder="1" applyAlignment="1">
      <alignment horizontal="left" wrapText="1"/>
    </xf>
    <xf numFmtId="0" fontId="3" fillId="0" borderId="2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2" borderId="5" xfId="2" applyFont="1" applyFill="1" applyBorder="1" applyAlignment="1">
      <alignment horizontal="left" vertical="top" wrapText="1"/>
    </xf>
    <xf numFmtId="0" fontId="3" fillId="2" borderId="6" xfId="2" applyFont="1" applyFill="1" applyBorder="1" applyAlignment="1">
      <alignment horizontal="left" vertical="top" wrapText="1"/>
    </xf>
    <xf numFmtId="168" fontId="4" fillId="0" borderId="7" xfId="2" applyNumberFormat="1" applyFont="1" applyBorder="1" applyAlignment="1">
      <alignment horizontal="right" vertical="top"/>
    </xf>
    <xf numFmtId="0" fontId="4" fillId="0" borderId="8" xfId="2" applyFont="1" applyBorder="1" applyAlignment="1">
      <alignment horizontal="right" vertical="top"/>
    </xf>
    <xf numFmtId="169" fontId="4" fillId="0" borderId="8" xfId="2" applyNumberFormat="1" applyFont="1" applyBorder="1" applyAlignment="1">
      <alignment horizontal="right" vertical="top"/>
    </xf>
    <xf numFmtId="0" fontId="4" fillId="0" borderId="9" xfId="2" applyFont="1" applyBorder="1" applyAlignment="1">
      <alignment horizontal="right" vertical="top"/>
    </xf>
    <xf numFmtId="0" fontId="3" fillId="2" borderId="10" xfId="2" applyFont="1" applyFill="1" applyBorder="1" applyAlignment="1">
      <alignment horizontal="left" vertical="top" wrapText="1"/>
    </xf>
    <xf numFmtId="0" fontId="3" fillId="2" borderId="10" xfId="2" applyFont="1" applyFill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9" fontId="4" fillId="0" borderId="12" xfId="2" applyNumberFormat="1" applyFont="1" applyBorder="1" applyAlignment="1">
      <alignment horizontal="right" vertical="top"/>
    </xf>
    <xf numFmtId="169" fontId="4" fillId="0" borderId="13" xfId="2" applyNumberFormat="1" applyFont="1" applyBorder="1" applyAlignment="1">
      <alignment horizontal="right" vertical="top"/>
    </xf>
    <xf numFmtId="0" fontId="3" fillId="2" borderId="14" xfId="2" applyFont="1" applyFill="1" applyBorder="1" applyAlignment="1">
      <alignment horizontal="left" vertical="top" wrapText="1"/>
    </xf>
    <xf numFmtId="0" fontId="3" fillId="2" borderId="14" xfId="2" applyFont="1" applyFill="1" applyBorder="1" applyAlignment="1">
      <alignment horizontal="left" vertical="top" wrapText="1"/>
    </xf>
    <xf numFmtId="168" fontId="4" fillId="0" borderId="15" xfId="2" applyNumberFormat="1" applyFont="1" applyBorder="1" applyAlignment="1">
      <alignment horizontal="right" vertical="top"/>
    </xf>
    <xf numFmtId="168" fontId="4" fillId="0" borderId="16" xfId="2" applyNumberFormat="1" applyFont="1" applyBorder="1" applyAlignment="1">
      <alignment horizontal="right" vertical="top"/>
    </xf>
    <xf numFmtId="168" fontId="4" fillId="0" borderId="17" xfId="2" applyNumberFormat="1" applyFont="1" applyBorder="1" applyAlignment="1">
      <alignment horizontal="right" vertical="top"/>
    </xf>
    <xf numFmtId="0" fontId="4" fillId="0" borderId="11" xfId="2" applyFont="1" applyBorder="1" applyAlignment="1">
      <alignment horizontal="right" vertical="top"/>
    </xf>
    <xf numFmtId="168" fontId="4" fillId="0" borderId="12" xfId="2" applyNumberFormat="1" applyFont="1" applyBorder="1" applyAlignment="1">
      <alignment horizontal="right" vertical="top"/>
    </xf>
    <xf numFmtId="0" fontId="4" fillId="0" borderId="12" xfId="2" applyFont="1" applyBorder="1" applyAlignment="1">
      <alignment horizontal="right" vertical="top"/>
    </xf>
    <xf numFmtId="0" fontId="4" fillId="0" borderId="13" xfId="2" applyFont="1" applyBorder="1" applyAlignment="1">
      <alignment horizontal="right" vertical="top"/>
    </xf>
    <xf numFmtId="169" fontId="4" fillId="0" borderId="11" xfId="2" applyNumberFormat="1" applyFont="1" applyBorder="1" applyAlignment="1">
      <alignment horizontal="right" vertical="top"/>
    </xf>
    <xf numFmtId="0" fontId="4" fillId="0" borderId="12" xfId="2" applyFont="1" applyBorder="1" applyAlignment="1">
      <alignment horizontal="left" vertical="top" wrapText="1"/>
    </xf>
    <xf numFmtId="168" fontId="4" fillId="0" borderId="13" xfId="2" applyNumberFormat="1" applyFont="1" applyBorder="1" applyAlignment="1">
      <alignment horizontal="right" vertical="top"/>
    </xf>
    <xf numFmtId="0" fontId="4" fillId="0" borderId="13" xfId="2" applyFont="1" applyBorder="1" applyAlignment="1">
      <alignment horizontal="left" vertical="top" wrapText="1"/>
    </xf>
    <xf numFmtId="0" fontId="3" fillId="2" borderId="18" xfId="2" applyFont="1" applyFill="1" applyBorder="1" applyAlignment="1">
      <alignment horizontal="left" vertical="top" wrapText="1"/>
    </xf>
    <xf numFmtId="0" fontId="3" fillId="2" borderId="18" xfId="2" applyFont="1" applyFill="1" applyBorder="1" applyAlignment="1">
      <alignment horizontal="left" vertical="top" wrapText="1"/>
    </xf>
    <xf numFmtId="168" fontId="4" fillId="0" borderId="19" xfId="2" applyNumberFormat="1" applyFont="1" applyBorder="1" applyAlignment="1">
      <alignment horizontal="right" vertical="top"/>
    </xf>
    <xf numFmtId="168" fontId="4" fillId="0" borderId="20" xfId="2" applyNumberFormat="1" applyFont="1" applyBorder="1" applyAlignment="1">
      <alignment horizontal="right" vertical="top"/>
    </xf>
    <xf numFmtId="168" fontId="4" fillId="0" borderId="21" xfId="2" applyNumberFormat="1" applyFont="1" applyBorder="1" applyAlignment="1">
      <alignment horizontal="right" vertical="top"/>
    </xf>
    <xf numFmtId="0" fontId="4" fillId="0" borderId="0" xfId="2" applyFont="1" applyBorder="1" applyAlignment="1">
      <alignment horizontal="left" vertical="top" wrapText="1"/>
    </xf>
    <xf numFmtId="0" fontId="2" fillId="0" borderId="0" xfId="3" applyFont="1" applyBorder="1" applyAlignment="1">
      <alignment horizontal="center" vertical="center" wrapText="1"/>
    </xf>
    <xf numFmtId="0" fontId="1" fillId="0" borderId="0" xfId="3"/>
    <xf numFmtId="0" fontId="3" fillId="0" borderId="1" xfId="3" applyFont="1" applyBorder="1" applyAlignment="1">
      <alignment horizontal="left" wrapText="1"/>
    </xf>
    <xf numFmtId="0" fontId="3" fillId="0" borderId="2" xfId="3" applyFont="1" applyBorder="1" applyAlignment="1">
      <alignment horizontal="center" wrapText="1"/>
    </xf>
    <xf numFmtId="0" fontId="3" fillId="0" borderId="3" xfId="3" applyFont="1" applyBorder="1" applyAlignment="1">
      <alignment horizontal="center" wrapText="1"/>
    </xf>
    <xf numFmtId="0" fontId="3" fillId="0" borderId="4" xfId="3" applyFont="1" applyBorder="1" applyAlignment="1">
      <alignment horizontal="center" wrapText="1"/>
    </xf>
    <xf numFmtId="0" fontId="3" fillId="2" borderId="5" xfId="3" applyFont="1" applyFill="1" applyBorder="1" applyAlignment="1">
      <alignment horizontal="left" vertical="top" wrapText="1"/>
    </xf>
    <xf numFmtId="0" fontId="3" fillId="2" borderId="6" xfId="3" applyFont="1" applyFill="1" applyBorder="1" applyAlignment="1">
      <alignment horizontal="left" vertical="top" wrapText="1"/>
    </xf>
    <xf numFmtId="168" fontId="4" fillId="0" borderId="7" xfId="3" applyNumberFormat="1" applyFont="1" applyBorder="1" applyAlignment="1">
      <alignment horizontal="right" vertical="top"/>
    </xf>
    <xf numFmtId="0" fontId="4" fillId="0" borderId="8" xfId="3" applyFont="1" applyBorder="1" applyAlignment="1">
      <alignment horizontal="right" vertical="top"/>
    </xf>
    <xf numFmtId="169" fontId="4" fillId="0" borderId="8" xfId="3" applyNumberFormat="1" applyFont="1" applyBorder="1" applyAlignment="1">
      <alignment horizontal="right" vertical="top"/>
    </xf>
    <xf numFmtId="0" fontId="4" fillId="0" borderId="9" xfId="3" applyFont="1" applyBorder="1" applyAlignment="1">
      <alignment horizontal="right" vertical="top"/>
    </xf>
    <xf numFmtId="0" fontId="3" fillId="2" borderId="10" xfId="3" applyFont="1" applyFill="1" applyBorder="1" applyAlignment="1">
      <alignment horizontal="left" vertical="top" wrapText="1"/>
    </xf>
    <xf numFmtId="0" fontId="3" fillId="2" borderId="10" xfId="3" applyFont="1" applyFill="1" applyBorder="1" applyAlignment="1">
      <alignment horizontal="left" vertical="top" wrapText="1"/>
    </xf>
    <xf numFmtId="0" fontId="4" fillId="0" borderId="11" xfId="3" applyFont="1" applyBorder="1" applyAlignment="1">
      <alignment horizontal="left" vertical="top" wrapText="1"/>
    </xf>
    <xf numFmtId="169" fontId="4" fillId="0" borderId="12" xfId="3" applyNumberFormat="1" applyFont="1" applyBorder="1" applyAlignment="1">
      <alignment horizontal="right" vertical="top"/>
    </xf>
    <xf numFmtId="169" fontId="4" fillId="0" borderId="13" xfId="3" applyNumberFormat="1" applyFont="1" applyBorder="1" applyAlignment="1">
      <alignment horizontal="right" vertical="top"/>
    </xf>
    <xf numFmtId="0" fontId="3" fillId="2" borderId="14" xfId="3" applyFont="1" applyFill="1" applyBorder="1" applyAlignment="1">
      <alignment horizontal="left" vertical="top" wrapText="1"/>
    </xf>
    <xf numFmtId="0" fontId="3" fillId="2" borderId="14" xfId="3" applyFont="1" applyFill="1" applyBorder="1" applyAlignment="1">
      <alignment horizontal="left" vertical="top" wrapText="1"/>
    </xf>
    <xf numFmtId="168" fontId="4" fillId="0" borderId="15" xfId="3" applyNumberFormat="1" applyFont="1" applyBorder="1" applyAlignment="1">
      <alignment horizontal="right" vertical="top"/>
    </xf>
    <xf numFmtId="168" fontId="4" fillId="0" borderId="16" xfId="3" applyNumberFormat="1" applyFont="1" applyBorder="1" applyAlignment="1">
      <alignment horizontal="right" vertical="top"/>
    </xf>
    <xf numFmtId="168" fontId="4" fillId="0" borderId="17" xfId="3" applyNumberFormat="1" applyFont="1" applyBorder="1" applyAlignment="1">
      <alignment horizontal="right" vertical="top"/>
    </xf>
    <xf numFmtId="0" fontId="4" fillId="0" borderId="11" xfId="3" applyFont="1" applyBorder="1" applyAlignment="1">
      <alignment horizontal="right" vertical="top"/>
    </xf>
    <xf numFmtId="168" fontId="4" fillId="0" borderId="12" xfId="3" applyNumberFormat="1" applyFont="1" applyBorder="1" applyAlignment="1">
      <alignment horizontal="right" vertical="top"/>
    </xf>
    <xf numFmtId="0" fontId="4" fillId="0" borderId="12" xfId="3" applyFont="1" applyBorder="1" applyAlignment="1">
      <alignment horizontal="right" vertical="top"/>
    </xf>
    <xf numFmtId="0" fontId="4" fillId="0" borderId="13" xfId="3" applyFont="1" applyBorder="1" applyAlignment="1">
      <alignment horizontal="right" vertical="top"/>
    </xf>
    <xf numFmtId="169" fontId="4" fillId="0" borderId="11" xfId="3" applyNumberFormat="1" applyFont="1" applyBorder="1" applyAlignment="1">
      <alignment horizontal="right" vertical="top"/>
    </xf>
    <xf numFmtId="0" fontId="4" fillId="0" borderId="12" xfId="3" applyFont="1" applyBorder="1" applyAlignment="1">
      <alignment horizontal="left" vertical="top" wrapText="1"/>
    </xf>
    <xf numFmtId="168" fontId="4" fillId="0" borderId="13" xfId="3" applyNumberFormat="1" applyFont="1" applyBorder="1" applyAlignment="1">
      <alignment horizontal="right" vertical="top"/>
    </xf>
    <xf numFmtId="0" fontId="4" fillId="0" borderId="13" xfId="3" applyFont="1" applyBorder="1" applyAlignment="1">
      <alignment horizontal="left" vertical="top" wrapText="1"/>
    </xf>
    <xf numFmtId="0" fontId="3" fillId="2" borderId="18" xfId="3" applyFont="1" applyFill="1" applyBorder="1" applyAlignment="1">
      <alignment horizontal="left" vertical="top" wrapText="1"/>
    </xf>
    <xf numFmtId="0" fontId="3" fillId="2" borderId="18" xfId="3" applyFont="1" applyFill="1" applyBorder="1" applyAlignment="1">
      <alignment horizontal="left" vertical="top" wrapText="1"/>
    </xf>
    <xf numFmtId="168" fontId="4" fillId="0" borderId="19" xfId="3" applyNumberFormat="1" applyFont="1" applyBorder="1" applyAlignment="1">
      <alignment horizontal="right" vertical="top"/>
    </xf>
    <xf numFmtId="168" fontId="4" fillId="0" borderId="20" xfId="3" applyNumberFormat="1" applyFont="1" applyBorder="1" applyAlignment="1">
      <alignment horizontal="right" vertical="top"/>
    </xf>
    <xf numFmtId="168" fontId="4" fillId="0" borderId="21" xfId="3" applyNumberFormat="1" applyFont="1" applyBorder="1" applyAlignment="1">
      <alignment horizontal="right" vertical="top"/>
    </xf>
    <xf numFmtId="0" fontId="4" fillId="0" borderId="0" xfId="3" applyFont="1" applyBorder="1" applyAlignment="1">
      <alignment horizontal="left" vertical="top" wrapText="1"/>
    </xf>
    <xf numFmtId="0" fontId="2" fillId="0" borderId="0" xfId="4" applyFont="1" applyBorder="1" applyAlignment="1">
      <alignment horizontal="center" vertical="center" wrapText="1"/>
    </xf>
    <xf numFmtId="0" fontId="1" fillId="0" borderId="0" xfId="4"/>
    <xf numFmtId="0" fontId="3" fillId="0" borderId="2" xfId="4" applyFont="1" applyBorder="1" applyAlignment="1">
      <alignment horizontal="center" wrapText="1"/>
    </xf>
    <xf numFmtId="0" fontId="3" fillId="0" borderId="4" xfId="4" applyFont="1" applyBorder="1" applyAlignment="1">
      <alignment horizontal="center" wrapText="1"/>
    </xf>
    <xf numFmtId="169" fontId="4" fillId="0" borderId="22" xfId="4" applyNumberFormat="1" applyFont="1" applyBorder="1" applyAlignment="1">
      <alignment horizontal="right" vertical="top"/>
    </xf>
    <xf numFmtId="168" fontId="4" fillId="0" borderId="23" xfId="4" applyNumberFormat="1" applyFont="1" applyBorder="1" applyAlignment="1">
      <alignment horizontal="right" vertical="top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5">
    <cellStyle name="Normal" xfId="0" builtinId="0"/>
    <cellStyle name="Normal_Reliabilitas" xfId="4" xr:uid="{DDAF8580-917A-4750-8CB5-482B6FBC3C70}"/>
    <cellStyle name="Normal_Sheet1" xfId="1" xr:uid="{D7040218-42A6-4406-A427-0A192D5EC4DA}"/>
    <cellStyle name="Normal_Sheet2" xfId="2" xr:uid="{EFE73F37-8683-487A-9DB7-DD3D15924004}"/>
    <cellStyle name="Normal_Y" xfId="3" xr:uid="{D8C2036D-5CB2-4678-8D01-37E43D4C7B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37B5-2559-46B2-805E-9D36ABE936B1}">
  <dimension ref="A1:N37"/>
  <sheetViews>
    <sheetView workbookViewId="0">
      <selection activeCell="L12" sqref="L12"/>
    </sheetView>
  </sheetViews>
  <sheetFormatPr defaultRowHeight="14.25" x14ac:dyDescent="0.45"/>
  <sheetData>
    <row r="1" spans="1:14" x14ac:dyDescent="0.4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24" x14ac:dyDescent="0.45">
      <c r="A2" s="3" t="s">
        <v>0</v>
      </c>
      <c r="B2" s="3"/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6" t="s">
        <v>12</v>
      </c>
      <c r="N2" s="2"/>
    </row>
    <row r="3" spans="1:14" ht="23.25" x14ac:dyDescent="0.45">
      <c r="A3" s="7" t="s">
        <v>2</v>
      </c>
      <c r="B3" s="8" t="s">
        <v>13</v>
      </c>
      <c r="C3" s="9">
        <v>1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1" t="s">
        <v>168</v>
      </c>
      <c r="N3" s="2"/>
    </row>
    <row r="4" spans="1:14" ht="23.25" x14ac:dyDescent="0.45">
      <c r="A4" s="12"/>
      <c r="B4" s="13" t="s">
        <v>14</v>
      </c>
      <c r="C4" s="14"/>
      <c r="D4" s="15">
        <v>2.9988102185829012E-17</v>
      </c>
      <c r="E4" s="15">
        <v>1.205396106196183E-6</v>
      </c>
      <c r="F4" s="15">
        <v>6.5091633168665492E-7</v>
      </c>
      <c r="G4" s="15">
        <v>1.5989007415688924E-8</v>
      </c>
      <c r="H4" s="15">
        <v>1.4290783262830176E-3</v>
      </c>
      <c r="I4" s="15">
        <v>2.539282626268079E-6</v>
      </c>
      <c r="J4" s="15">
        <v>1.5283420171650111E-4</v>
      </c>
      <c r="K4" s="15">
        <v>2.2095667019494937E-6</v>
      </c>
      <c r="L4" s="15">
        <v>4.2465683439941518E-2</v>
      </c>
      <c r="M4" s="16">
        <v>5.3402925595297125E-19</v>
      </c>
      <c r="N4" s="2"/>
    </row>
    <row r="5" spans="1:14" x14ac:dyDescent="0.45">
      <c r="A5" s="17"/>
      <c r="B5" s="18" t="s">
        <v>15</v>
      </c>
      <c r="C5" s="19">
        <v>99</v>
      </c>
      <c r="D5" s="20">
        <v>99</v>
      </c>
      <c r="E5" s="20">
        <v>99</v>
      </c>
      <c r="F5" s="20">
        <v>99</v>
      </c>
      <c r="G5" s="20">
        <v>99</v>
      </c>
      <c r="H5" s="20">
        <v>99</v>
      </c>
      <c r="I5" s="20">
        <v>99</v>
      </c>
      <c r="J5" s="20">
        <v>99</v>
      </c>
      <c r="K5" s="20">
        <v>99</v>
      </c>
      <c r="L5" s="20">
        <v>99</v>
      </c>
      <c r="M5" s="21">
        <v>99</v>
      </c>
      <c r="N5" s="2"/>
    </row>
    <row r="6" spans="1:14" ht="23.25" x14ac:dyDescent="0.45">
      <c r="A6" s="17" t="s">
        <v>3</v>
      </c>
      <c r="B6" s="13" t="s">
        <v>13</v>
      </c>
      <c r="C6" s="22" t="s">
        <v>18</v>
      </c>
      <c r="D6" s="23">
        <v>1</v>
      </c>
      <c r="E6" s="24" t="s">
        <v>28</v>
      </c>
      <c r="F6" s="24" t="s">
        <v>29</v>
      </c>
      <c r="G6" s="24" t="s">
        <v>20</v>
      </c>
      <c r="H6" s="24" t="s">
        <v>30</v>
      </c>
      <c r="I6" s="24" t="s">
        <v>31</v>
      </c>
      <c r="J6" s="24" t="s">
        <v>32</v>
      </c>
      <c r="K6" s="24" t="s">
        <v>33</v>
      </c>
      <c r="L6" s="24" t="s">
        <v>34</v>
      </c>
      <c r="M6" s="25" t="s">
        <v>169</v>
      </c>
      <c r="N6" s="2"/>
    </row>
    <row r="7" spans="1:14" ht="23.25" x14ac:dyDescent="0.45">
      <c r="A7" s="12"/>
      <c r="B7" s="13" t="s">
        <v>14</v>
      </c>
      <c r="C7" s="26">
        <v>2.9988102185829012E-17</v>
      </c>
      <c r="D7" s="27"/>
      <c r="E7" s="15">
        <v>2.0169064520442399E-6</v>
      </c>
      <c r="F7" s="15">
        <v>6.6478442517271988E-7</v>
      </c>
      <c r="G7" s="15">
        <v>6.4405079158669696E-7</v>
      </c>
      <c r="H7" s="15">
        <v>5.4934347757510728E-5</v>
      </c>
      <c r="I7" s="15">
        <v>8.3310866602318443E-5</v>
      </c>
      <c r="J7" s="15">
        <v>2.6652486985614186E-3</v>
      </c>
      <c r="K7" s="15">
        <v>1.2625518840691571E-5</v>
      </c>
      <c r="L7" s="15">
        <v>1.0161015954234541E-2</v>
      </c>
      <c r="M7" s="16">
        <v>6.6161295886463376E-18</v>
      </c>
      <c r="N7" s="2"/>
    </row>
    <row r="8" spans="1:14" x14ac:dyDescent="0.45">
      <c r="A8" s="17"/>
      <c r="B8" s="18" t="s">
        <v>15</v>
      </c>
      <c r="C8" s="19">
        <v>99</v>
      </c>
      <c r="D8" s="20">
        <v>99</v>
      </c>
      <c r="E8" s="20">
        <v>99</v>
      </c>
      <c r="F8" s="20">
        <v>99</v>
      </c>
      <c r="G8" s="20">
        <v>99</v>
      </c>
      <c r="H8" s="20">
        <v>99</v>
      </c>
      <c r="I8" s="20">
        <v>99</v>
      </c>
      <c r="J8" s="20">
        <v>99</v>
      </c>
      <c r="K8" s="20">
        <v>99</v>
      </c>
      <c r="L8" s="20">
        <v>99</v>
      </c>
      <c r="M8" s="21">
        <v>99</v>
      </c>
      <c r="N8" s="2"/>
    </row>
    <row r="9" spans="1:14" ht="23.25" x14ac:dyDescent="0.45">
      <c r="A9" s="17" t="s">
        <v>4</v>
      </c>
      <c r="B9" s="13" t="s">
        <v>13</v>
      </c>
      <c r="C9" s="22" t="s">
        <v>19</v>
      </c>
      <c r="D9" s="24" t="s">
        <v>28</v>
      </c>
      <c r="E9" s="23">
        <v>1</v>
      </c>
      <c r="F9" s="24" t="s">
        <v>36</v>
      </c>
      <c r="G9" s="24" t="s">
        <v>25</v>
      </c>
      <c r="H9" s="24" t="s">
        <v>28</v>
      </c>
      <c r="I9" s="24" t="s">
        <v>37</v>
      </c>
      <c r="J9" s="24" t="s">
        <v>38</v>
      </c>
      <c r="K9" s="15">
        <v>0.11839803588559547</v>
      </c>
      <c r="L9" s="15">
        <v>-1.6163554387112243E-3</v>
      </c>
      <c r="M9" s="25" t="s">
        <v>170</v>
      </c>
      <c r="N9" s="2"/>
    </row>
    <row r="10" spans="1:14" ht="23.25" x14ac:dyDescent="0.45">
      <c r="A10" s="12"/>
      <c r="B10" s="13" t="s">
        <v>14</v>
      </c>
      <c r="C10" s="26">
        <v>1.205396106196183E-6</v>
      </c>
      <c r="D10" s="15">
        <v>2.0169064520442399E-6</v>
      </c>
      <c r="E10" s="27"/>
      <c r="F10" s="15">
        <v>7.850607027227619E-18</v>
      </c>
      <c r="G10" s="15">
        <v>2.2733770854713178E-6</v>
      </c>
      <c r="H10" s="15">
        <v>2.0169064520442221E-6</v>
      </c>
      <c r="I10" s="15">
        <v>4.7432353176041545E-8</v>
      </c>
      <c r="J10" s="15">
        <v>5.4777173920091351E-7</v>
      </c>
      <c r="K10" s="15">
        <v>0.24313170034137507</v>
      </c>
      <c r="L10" s="15">
        <v>0.98733149005194609</v>
      </c>
      <c r="M10" s="16">
        <v>4.3266422862219767E-16</v>
      </c>
      <c r="N10" s="2"/>
    </row>
    <row r="11" spans="1:14" x14ac:dyDescent="0.45">
      <c r="A11" s="17"/>
      <c r="B11" s="18" t="s">
        <v>15</v>
      </c>
      <c r="C11" s="19">
        <v>99</v>
      </c>
      <c r="D11" s="20">
        <v>99</v>
      </c>
      <c r="E11" s="20">
        <v>99</v>
      </c>
      <c r="F11" s="20">
        <v>99</v>
      </c>
      <c r="G11" s="20">
        <v>99</v>
      </c>
      <c r="H11" s="20">
        <v>99</v>
      </c>
      <c r="I11" s="20">
        <v>99</v>
      </c>
      <c r="J11" s="20">
        <v>99</v>
      </c>
      <c r="K11" s="20">
        <v>99</v>
      </c>
      <c r="L11" s="20">
        <v>99</v>
      </c>
      <c r="M11" s="21">
        <v>99</v>
      </c>
      <c r="N11" s="2"/>
    </row>
    <row r="12" spans="1:14" ht="23.25" x14ac:dyDescent="0.45">
      <c r="A12" s="17" t="s">
        <v>5</v>
      </c>
      <c r="B12" s="13" t="s">
        <v>13</v>
      </c>
      <c r="C12" s="22" t="s">
        <v>20</v>
      </c>
      <c r="D12" s="24" t="s">
        <v>29</v>
      </c>
      <c r="E12" s="24" t="s">
        <v>36</v>
      </c>
      <c r="F12" s="23">
        <v>1</v>
      </c>
      <c r="G12" s="24" t="s">
        <v>40</v>
      </c>
      <c r="H12" s="24" t="s">
        <v>41</v>
      </c>
      <c r="I12" s="24" t="s">
        <v>42</v>
      </c>
      <c r="J12" s="24" t="s">
        <v>43</v>
      </c>
      <c r="K12" s="15">
        <v>0.12901196758620065</v>
      </c>
      <c r="L12" s="15">
        <v>-4.5949467907413943E-2</v>
      </c>
      <c r="M12" s="25" t="s">
        <v>171</v>
      </c>
      <c r="N12" s="2"/>
    </row>
    <row r="13" spans="1:14" ht="23.25" x14ac:dyDescent="0.45">
      <c r="A13" s="12"/>
      <c r="B13" s="13" t="s">
        <v>14</v>
      </c>
      <c r="C13" s="26">
        <v>6.5091633168665492E-7</v>
      </c>
      <c r="D13" s="15">
        <v>6.6478442517271988E-7</v>
      </c>
      <c r="E13" s="15">
        <v>7.850607027227619E-18</v>
      </c>
      <c r="F13" s="27"/>
      <c r="G13" s="15">
        <v>6.7495473396609901E-12</v>
      </c>
      <c r="H13" s="15">
        <v>1.6220035260020613E-9</v>
      </c>
      <c r="I13" s="15">
        <v>1.9474845946872995E-11</v>
      </c>
      <c r="J13" s="15">
        <v>9.9201381098079962E-10</v>
      </c>
      <c r="K13" s="15">
        <v>0.2031329779673936</v>
      </c>
      <c r="L13" s="15">
        <v>0.65154011529227607</v>
      </c>
      <c r="M13" s="16">
        <v>1.7553395554124676E-20</v>
      </c>
      <c r="N13" s="2"/>
    </row>
    <row r="14" spans="1:14" x14ac:dyDescent="0.45">
      <c r="A14" s="17"/>
      <c r="B14" s="18" t="s">
        <v>15</v>
      </c>
      <c r="C14" s="19">
        <v>99</v>
      </c>
      <c r="D14" s="20">
        <v>99</v>
      </c>
      <c r="E14" s="20">
        <v>99</v>
      </c>
      <c r="F14" s="20">
        <v>99</v>
      </c>
      <c r="G14" s="20">
        <v>99</v>
      </c>
      <c r="H14" s="20">
        <v>99</v>
      </c>
      <c r="I14" s="20">
        <v>99</v>
      </c>
      <c r="J14" s="20">
        <v>99</v>
      </c>
      <c r="K14" s="20">
        <v>99</v>
      </c>
      <c r="L14" s="20">
        <v>99</v>
      </c>
      <c r="M14" s="21">
        <v>99</v>
      </c>
      <c r="N14" s="2"/>
    </row>
    <row r="15" spans="1:14" ht="23.25" x14ac:dyDescent="0.45">
      <c r="A15" s="17" t="s">
        <v>6</v>
      </c>
      <c r="B15" s="13" t="s">
        <v>13</v>
      </c>
      <c r="C15" s="22" t="s">
        <v>21</v>
      </c>
      <c r="D15" s="24" t="s">
        <v>20</v>
      </c>
      <c r="E15" s="24" t="s">
        <v>25</v>
      </c>
      <c r="F15" s="24" t="s">
        <v>40</v>
      </c>
      <c r="G15" s="23">
        <v>1</v>
      </c>
      <c r="H15" s="24" t="s">
        <v>45</v>
      </c>
      <c r="I15" s="24" t="s">
        <v>46</v>
      </c>
      <c r="J15" s="24" t="s">
        <v>21</v>
      </c>
      <c r="K15" s="15">
        <v>0.19719050556406928</v>
      </c>
      <c r="L15" s="15">
        <v>3.0337000856010553E-2</v>
      </c>
      <c r="M15" s="25" t="s">
        <v>172</v>
      </c>
      <c r="N15" s="2"/>
    </row>
    <row r="16" spans="1:14" ht="23.25" x14ac:dyDescent="0.45">
      <c r="A16" s="12"/>
      <c r="B16" s="13" t="s">
        <v>14</v>
      </c>
      <c r="C16" s="26">
        <v>1.5989007415688924E-8</v>
      </c>
      <c r="D16" s="15">
        <v>6.4405079158669696E-7</v>
      </c>
      <c r="E16" s="15">
        <v>2.2733770854713178E-6</v>
      </c>
      <c r="F16" s="15">
        <v>6.7495473396609901E-12</v>
      </c>
      <c r="G16" s="27"/>
      <c r="H16" s="15">
        <v>2.1373083643643746E-9</v>
      </c>
      <c r="I16" s="15">
        <v>8.0233060253487332E-10</v>
      </c>
      <c r="J16" s="15">
        <v>1.5785107344908686E-8</v>
      </c>
      <c r="K16" s="15">
        <v>5.0423109184358758E-2</v>
      </c>
      <c r="L16" s="15">
        <v>0.76563873952401806</v>
      </c>
      <c r="M16" s="16">
        <v>9.9409535881896977E-19</v>
      </c>
      <c r="N16" s="2"/>
    </row>
    <row r="17" spans="1:14" x14ac:dyDescent="0.45">
      <c r="A17" s="17"/>
      <c r="B17" s="18" t="s">
        <v>15</v>
      </c>
      <c r="C17" s="19">
        <v>99</v>
      </c>
      <c r="D17" s="20">
        <v>99</v>
      </c>
      <c r="E17" s="20">
        <v>99</v>
      </c>
      <c r="F17" s="20">
        <v>99</v>
      </c>
      <c r="G17" s="20">
        <v>99</v>
      </c>
      <c r="H17" s="20">
        <v>99</v>
      </c>
      <c r="I17" s="20">
        <v>99</v>
      </c>
      <c r="J17" s="20">
        <v>99</v>
      </c>
      <c r="K17" s="20">
        <v>99</v>
      </c>
      <c r="L17" s="20">
        <v>99</v>
      </c>
      <c r="M17" s="21">
        <v>99</v>
      </c>
      <c r="N17" s="2"/>
    </row>
    <row r="18" spans="1:14" ht="23.25" x14ac:dyDescent="0.45">
      <c r="A18" s="17" t="s">
        <v>7</v>
      </c>
      <c r="B18" s="13" t="s">
        <v>13</v>
      </c>
      <c r="C18" s="22" t="s">
        <v>22</v>
      </c>
      <c r="D18" s="24" t="s">
        <v>30</v>
      </c>
      <c r="E18" s="24" t="s">
        <v>28</v>
      </c>
      <c r="F18" s="24" t="s">
        <v>41</v>
      </c>
      <c r="G18" s="24" t="s">
        <v>45</v>
      </c>
      <c r="H18" s="23">
        <v>1</v>
      </c>
      <c r="I18" s="24" t="s">
        <v>48</v>
      </c>
      <c r="J18" s="24" t="s">
        <v>49</v>
      </c>
      <c r="K18" s="15">
        <v>4.9515623187595163E-2</v>
      </c>
      <c r="L18" s="15">
        <v>7.9728545810533371E-3</v>
      </c>
      <c r="M18" s="25" t="s">
        <v>173</v>
      </c>
      <c r="N18" s="2"/>
    </row>
    <row r="19" spans="1:14" ht="23.25" x14ac:dyDescent="0.45">
      <c r="A19" s="12"/>
      <c r="B19" s="13" t="s">
        <v>14</v>
      </c>
      <c r="C19" s="26">
        <v>1.4290783262830176E-3</v>
      </c>
      <c r="D19" s="15">
        <v>5.4934347757510728E-5</v>
      </c>
      <c r="E19" s="15">
        <v>2.0169064520442221E-6</v>
      </c>
      <c r="F19" s="15">
        <v>1.6220035260020613E-9</v>
      </c>
      <c r="G19" s="15">
        <v>2.1373083643643746E-9</v>
      </c>
      <c r="H19" s="27"/>
      <c r="I19" s="15">
        <v>2.3249612730020617E-10</v>
      </c>
      <c r="J19" s="15">
        <v>4.3260939084350472E-9</v>
      </c>
      <c r="K19" s="15">
        <v>0.62645968417259745</v>
      </c>
      <c r="L19" s="15">
        <v>0.93757140804261674</v>
      </c>
      <c r="M19" s="16">
        <v>2.7010784156200455E-14</v>
      </c>
      <c r="N19" s="2"/>
    </row>
    <row r="20" spans="1:14" x14ac:dyDescent="0.45">
      <c r="A20" s="17"/>
      <c r="B20" s="18" t="s">
        <v>15</v>
      </c>
      <c r="C20" s="19">
        <v>99</v>
      </c>
      <c r="D20" s="20">
        <v>99</v>
      </c>
      <c r="E20" s="20">
        <v>99</v>
      </c>
      <c r="F20" s="20">
        <v>99</v>
      </c>
      <c r="G20" s="20">
        <v>99</v>
      </c>
      <c r="H20" s="20">
        <v>99</v>
      </c>
      <c r="I20" s="20">
        <v>99</v>
      </c>
      <c r="J20" s="20">
        <v>99</v>
      </c>
      <c r="K20" s="20">
        <v>99</v>
      </c>
      <c r="L20" s="20">
        <v>99</v>
      </c>
      <c r="M20" s="21">
        <v>99</v>
      </c>
      <c r="N20" s="2"/>
    </row>
    <row r="21" spans="1:14" ht="23.25" x14ac:dyDescent="0.45">
      <c r="A21" s="17" t="s">
        <v>8</v>
      </c>
      <c r="B21" s="13" t="s">
        <v>13</v>
      </c>
      <c r="C21" s="22" t="s">
        <v>23</v>
      </c>
      <c r="D21" s="24" t="s">
        <v>31</v>
      </c>
      <c r="E21" s="24" t="s">
        <v>37</v>
      </c>
      <c r="F21" s="24" t="s">
        <v>42</v>
      </c>
      <c r="G21" s="24" t="s">
        <v>46</v>
      </c>
      <c r="H21" s="24" t="s">
        <v>48</v>
      </c>
      <c r="I21" s="23">
        <v>1</v>
      </c>
      <c r="J21" s="24" t="s">
        <v>51</v>
      </c>
      <c r="K21" s="15">
        <v>0.12368548319138764</v>
      </c>
      <c r="L21" s="15">
        <v>1.2368548319139062E-3</v>
      </c>
      <c r="M21" s="25" t="s">
        <v>174</v>
      </c>
      <c r="N21" s="2"/>
    </row>
    <row r="22" spans="1:14" ht="23.25" x14ac:dyDescent="0.45">
      <c r="A22" s="12"/>
      <c r="B22" s="13" t="s">
        <v>14</v>
      </c>
      <c r="C22" s="26">
        <v>2.539282626268079E-6</v>
      </c>
      <c r="D22" s="15">
        <v>8.3310866602318443E-5</v>
      </c>
      <c r="E22" s="15">
        <v>4.7432353176041545E-8</v>
      </c>
      <c r="F22" s="15">
        <v>1.9474845946872995E-11</v>
      </c>
      <c r="G22" s="15">
        <v>8.0233060253487332E-10</v>
      </c>
      <c r="H22" s="15">
        <v>2.3249612730020617E-10</v>
      </c>
      <c r="I22" s="27"/>
      <c r="J22" s="15">
        <v>5.5231110669322439E-25</v>
      </c>
      <c r="K22" s="15">
        <v>0.22257289343696116</v>
      </c>
      <c r="L22" s="15">
        <v>0.99030573597991822</v>
      </c>
      <c r="M22" s="16">
        <v>7.7987093797117377E-20</v>
      </c>
      <c r="N22" s="2"/>
    </row>
    <row r="23" spans="1:14" x14ac:dyDescent="0.45">
      <c r="A23" s="17"/>
      <c r="B23" s="18" t="s">
        <v>15</v>
      </c>
      <c r="C23" s="19">
        <v>99</v>
      </c>
      <c r="D23" s="20">
        <v>99</v>
      </c>
      <c r="E23" s="20">
        <v>99</v>
      </c>
      <c r="F23" s="20">
        <v>99</v>
      </c>
      <c r="G23" s="20">
        <v>99</v>
      </c>
      <c r="H23" s="20">
        <v>99</v>
      </c>
      <c r="I23" s="20">
        <v>99</v>
      </c>
      <c r="J23" s="20">
        <v>99</v>
      </c>
      <c r="K23" s="20">
        <v>99</v>
      </c>
      <c r="L23" s="20">
        <v>99</v>
      </c>
      <c r="M23" s="21">
        <v>99</v>
      </c>
      <c r="N23" s="2"/>
    </row>
    <row r="24" spans="1:14" ht="23.25" x14ac:dyDescent="0.45">
      <c r="A24" s="17" t="s">
        <v>9</v>
      </c>
      <c r="B24" s="13" t="s">
        <v>13</v>
      </c>
      <c r="C24" s="22" t="s">
        <v>24</v>
      </c>
      <c r="D24" s="24" t="s">
        <v>32</v>
      </c>
      <c r="E24" s="24" t="s">
        <v>38</v>
      </c>
      <c r="F24" s="24" t="s">
        <v>43</v>
      </c>
      <c r="G24" s="24" t="s">
        <v>21</v>
      </c>
      <c r="H24" s="24" t="s">
        <v>49</v>
      </c>
      <c r="I24" s="24" t="s">
        <v>51</v>
      </c>
      <c r="J24" s="23">
        <v>1</v>
      </c>
      <c r="K24" s="15">
        <v>0.10310612597066436</v>
      </c>
      <c r="L24" s="15">
        <v>6.0396893874029307E-2</v>
      </c>
      <c r="M24" s="25" t="s">
        <v>175</v>
      </c>
      <c r="N24" s="2"/>
    </row>
    <row r="25" spans="1:14" ht="23.25" x14ac:dyDescent="0.45">
      <c r="A25" s="12"/>
      <c r="B25" s="13" t="s">
        <v>14</v>
      </c>
      <c r="C25" s="26">
        <v>1.5283420171650111E-4</v>
      </c>
      <c r="D25" s="15">
        <v>2.6652486985614186E-3</v>
      </c>
      <c r="E25" s="15">
        <v>5.4777173920091351E-7</v>
      </c>
      <c r="F25" s="15">
        <v>9.9201381098079962E-10</v>
      </c>
      <c r="G25" s="15">
        <v>1.5785107344908686E-8</v>
      </c>
      <c r="H25" s="15">
        <v>4.3260939084350472E-9</v>
      </c>
      <c r="I25" s="15">
        <v>5.5231110669322439E-25</v>
      </c>
      <c r="J25" s="27"/>
      <c r="K25" s="15">
        <v>0.30983246199882503</v>
      </c>
      <c r="L25" s="15">
        <v>0.55261115057352217</v>
      </c>
      <c r="M25" s="16">
        <v>8.3964755830463353E-17</v>
      </c>
      <c r="N25" s="2"/>
    </row>
    <row r="26" spans="1:14" x14ac:dyDescent="0.45">
      <c r="A26" s="17"/>
      <c r="B26" s="18" t="s">
        <v>15</v>
      </c>
      <c r="C26" s="19">
        <v>99</v>
      </c>
      <c r="D26" s="20">
        <v>99</v>
      </c>
      <c r="E26" s="20">
        <v>99</v>
      </c>
      <c r="F26" s="20">
        <v>99</v>
      </c>
      <c r="G26" s="20">
        <v>99</v>
      </c>
      <c r="H26" s="20">
        <v>99</v>
      </c>
      <c r="I26" s="20">
        <v>99</v>
      </c>
      <c r="J26" s="20">
        <v>99</v>
      </c>
      <c r="K26" s="20">
        <v>99</v>
      </c>
      <c r="L26" s="20">
        <v>99</v>
      </c>
      <c r="M26" s="21">
        <v>99</v>
      </c>
      <c r="N26" s="2"/>
    </row>
    <row r="27" spans="1:14" ht="23.25" x14ac:dyDescent="0.45">
      <c r="A27" s="17" t="s">
        <v>10</v>
      </c>
      <c r="B27" s="13" t="s">
        <v>13</v>
      </c>
      <c r="C27" s="22" t="s">
        <v>25</v>
      </c>
      <c r="D27" s="24" t="s">
        <v>33</v>
      </c>
      <c r="E27" s="15">
        <v>0.11839803588559547</v>
      </c>
      <c r="F27" s="15">
        <v>0.12901196758620065</v>
      </c>
      <c r="G27" s="15">
        <v>0.19719050556406928</v>
      </c>
      <c r="H27" s="15">
        <v>4.9515623187595163E-2</v>
      </c>
      <c r="I27" s="15">
        <v>0.12368548319138764</v>
      </c>
      <c r="J27" s="15">
        <v>0.10310612597066436</v>
      </c>
      <c r="K27" s="23">
        <v>1</v>
      </c>
      <c r="L27" s="24" t="s">
        <v>54</v>
      </c>
      <c r="M27" s="25" t="s">
        <v>176</v>
      </c>
      <c r="N27" s="2"/>
    </row>
    <row r="28" spans="1:14" ht="23.25" x14ac:dyDescent="0.45">
      <c r="A28" s="12"/>
      <c r="B28" s="13" t="s">
        <v>14</v>
      </c>
      <c r="C28" s="26">
        <v>2.2095667019494937E-6</v>
      </c>
      <c r="D28" s="15">
        <v>1.2625518840691571E-5</v>
      </c>
      <c r="E28" s="15">
        <v>0.24313170034137507</v>
      </c>
      <c r="F28" s="15">
        <v>0.2031329779673936</v>
      </c>
      <c r="G28" s="15">
        <v>5.0423109184358758E-2</v>
      </c>
      <c r="H28" s="15">
        <v>0.62645968417259745</v>
      </c>
      <c r="I28" s="15">
        <v>0.22257289343696116</v>
      </c>
      <c r="J28" s="15">
        <v>0.30983246199882503</v>
      </c>
      <c r="K28" s="27"/>
      <c r="L28" s="15">
        <v>1.1617055540254738E-18</v>
      </c>
      <c r="M28" s="16">
        <v>1.7434863281247822E-7</v>
      </c>
      <c r="N28" s="2"/>
    </row>
    <row r="29" spans="1:14" x14ac:dyDescent="0.45">
      <c r="A29" s="17"/>
      <c r="B29" s="18" t="s">
        <v>15</v>
      </c>
      <c r="C29" s="19">
        <v>99</v>
      </c>
      <c r="D29" s="20">
        <v>99</v>
      </c>
      <c r="E29" s="20">
        <v>99</v>
      </c>
      <c r="F29" s="20">
        <v>99</v>
      </c>
      <c r="G29" s="20">
        <v>99</v>
      </c>
      <c r="H29" s="20">
        <v>99</v>
      </c>
      <c r="I29" s="20">
        <v>99</v>
      </c>
      <c r="J29" s="20">
        <v>99</v>
      </c>
      <c r="K29" s="20">
        <v>99</v>
      </c>
      <c r="L29" s="20">
        <v>99</v>
      </c>
      <c r="M29" s="21">
        <v>99</v>
      </c>
      <c r="N29" s="2"/>
    </row>
    <row r="30" spans="1:14" ht="23.25" x14ac:dyDescent="0.45">
      <c r="A30" s="17" t="s">
        <v>11</v>
      </c>
      <c r="B30" s="13" t="s">
        <v>13</v>
      </c>
      <c r="C30" s="22" t="s">
        <v>26</v>
      </c>
      <c r="D30" s="24" t="s">
        <v>34</v>
      </c>
      <c r="E30" s="15">
        <v>-1.6163554387112243E-3</v>
      </c>
      <c r="F30" s="15">
        <v>-4.5949467907413943E-2</v>
      </c>
      <c r="G30" s="15">
        <v>3.0337000856010553E-2</v>
      </c>
      <c r="H30" s="15">
        <v>7.9728545810533371E-3</v>
      </c>
      <c r="I30" s="15">
        <v>1.2368548319139062E-3</v>
      </c>
      <c r="J30" s="15">
        <v>6.0396893874029307E-2</v>
      </c>
      <c r="K30" s="24" t="s">
        <v>54</v>
      </c>
      <c r="L30" s="23">
        <v>1</v>
      </c>
      <c r="M30" s="25" t="s">
        <v>177</v>
      </c>
      <c r="N30" s="2"/>
    </row>
    <row r="31" spans="1:14" ht="23.25" x14ac:dyDescent="0.45">
      <c r="A31" s="12"/>
      <c r="B31" s="13" t="s">
        <v>14</v>
      </c>
      <c r="C31" s="26">
        <v>4.2465683439941518E-2</v>
      </c>
      <c r="D31" s="15">
        <v>1.0161015954234541E-2</v>
      </c>
      <c r="E31" s="15">
        <v>0.98733149005194609</v>
      </c>
      <c r="F31" s="15">
        <v>0.65154011529227607</v>
      </c>
      <c r="G31" s="15">
        <v>0.76563873952401806</v>
      </c>
      <c r="H31" s="15">
        <v>0.93757140804261674</v>
      </c>
      <c r="I31" s="15">
        <v>0.99030573597991822</v>
      </c>
      <c r="J31" s="15">
        <v>0.55261115057352217</v>
      </c>
      <c r="K31" s="15">
        <v>1.1617055540254738E-18</v>
      </c>
      <c r="L31" s="27"/>
      <c r="M31" s="16">
        <v>7.4659985492170431E-4</v>
      </c>
      <c r="N31" s="2"/>
    </row>
    <row r="32" spans="1:14" x14ac:dyDescent="0.45">
      <c r="A32" s="17"/>
      <c r="B32" s="18" t="s">
        <v>15</v>
      </c>
      <c r="C32" s="19">
        <v>99</v>
      </c>
      <c r="D32" s="20">
        <v>99</v>
      </c>
      <c r="E32" s="20">
        <v>99</v>
      </c>
      <c r="F32" s="20">
        <v>99</v>
      </c>
      <c r="G32" s="20">
        <v>99</v>
      </c>
      <c r="H32" s="20">
        <v>99</v>
      </c>
      <c r="I32" s="20">
        <v>99</v>
      </c>
      <c r="J32" s="20">
        <v>99</v>
      </c>
      <c r="K32" s="20">
        <v>99</v>
      </c>
      <c r="L32" s="20">
        <v>99</v>
      </c>
      <c r="M32" s="21">
        <v>99</v>
      </c>
      <c r="N32" s="2"/>
    </row>
    <row r="33" spans="1:14" ht="23.25" x14ac:dyDescent="0.45">
      <c r="A33" s="17" t="s">
        <v>12</v>
      </c>
      <c r="B33" s="13" t="s">
        <v>13</v>
      </c>
      <c r="C33" s="22" t="s">
        <v>27</v>
      </c>
      <c r="D33" s="24" t="s">
        <v>35</v>
      </c>
      <c r="E33" s="24" t="s">
        <v>39</v>
      </c>
      <c r="F33" s="24" t="s">
        <v>44</v>
      </c>
      <c r="G33" s="24" t="s">
        <v>47</v>
      </c>
      <c r="H33" s="24" t="s">
        <v>50</v>
      </c>
      <c r="I33" s="24" t="s">
        <v>52</v>
      </c>
      <c r="J33" s="24" t="s">
        <v>53</v>
      </c>
      <c r="K33" s="24" t="s">
        <v>55</v>
      </c>
      <c r="L33" s="24" t="s">
        <v>56</v>
      </c>
      <c r="M33" s="28">
        <v>1</v>
      </c>
      <c r="N33" s="2"/>
    </row>
    <row r="34" spans="1:14" ht="23.25" x14ac:dyDescent="0.45">
      <c r="A34" s="12"/>
      <c r="B34" s="13" t="s">
        <v>14</v>
      </c>
      <c r="C34" s="26">
        <v>5.3402925595297125E-19</v>
      </c>
      <c r="D34" s="15">
        <v>6.6161295886463376E-18</v>
      </c>
      <c r="E34" s="15">
        <v>4.3266422862219767E-16</v>
      </c>
      <c r="F34" s="15">
        <v>1.7553395554124676E-20</v>
      </c>
      <c r="G34" s="15">
        <v>9.9409535881896977E-19</v>
      </c>
      <c r="H34" s="15">
        <v>2.7010784156200455E-14</v>
      </c>
      <c r="I34" s="15">
        <v>7.7987093797117377E-20</v>
      </c>
      <c r="J34" s="15">
        <v>8.3964755830463353E-17</v>
      </c>
      <c r="K34" s="15">
        <v>1.7434863281247822E-7</v>
      </c>
      <c r="L34" s="15">
        <v>7.4659985492170431E-4</v>
      </c>
      <c r="M34" s="29"/>
      <c r="N34" s="2"/>
    </row>
    <row r="35" spans="1:14" x14ac:dyDescent="0.45">
      <c r="A35" s="30"/>
      <c r="B35" s="31" t="s">
        <v>15</v>
      </c>
      <c r="C35" s="32">
        <v>99</v>
      </c>
      <c r="D35" s="33">
        <v>99</v>
      </c>
      <c r="E35" s="33">
        <v>99</v>
      </c>
      <c r="F35" s="33">
        <v>99</v>
      </c>
      <c r="G35" s="33">
        <v>99</v>
      </c>
      <c r="H35" s="33">
        <v>99</v>
      </c>
      <c r="I35" s="33">
        <v>99</v>
      </c>
      <c r="J35" s="33">
        <v>99</v>
      </c>
      <c r="K35" s="33">
        <v>99</v>
      </c>
      <c r="L35" s="33">
        <v>99</v>
      </c>
      <c r="M35" s="34">
        <v>99</v>
      </c>
      <c r="N35" s="2"/>
    </row>
    <row r="36" spans="1:14" x14ac:dyDescent="0.45">
      <c r="A36" s="35" t="s">
        <v>16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2"/>
    </row>
    <row r="37" spans="1:14" x14ac:dyDescent="0.45">
      <c r="A37" s="35" t="s">
        <v>17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2"/>
    </row>
  </sheetData>
  <mergeCells count="15">
    <mergeCell ref="A33:A35"/>
    <mergeCell ref="A36:M36"/>
    <mergeCell ref="A37:M37"/>
    <mergeCell ref="A15:A17"/>
    <mergeCell ref="A18:A20"/>
    <mergeCell ref="A21:A23"/>
    <mergeCell ref="A24:A26"/>
    <mergeCell ref="A27:A29"/>
    <mergeCell ref="A30:A32"/>
    <mergeCell ref="A1:M1"/>
    <mergeCell ref="A2:B2"/>
    <mergeCell ref="A3:A5"/>
    <mergeCell ref="A6:A8"/>
    <mergeCell ref="A9:A11"/>
    <mergeCell ref="A12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18CA-B121-4880-94DD-05EABA95C5DC}">
  <dimension ref="A1:N37"/>
  <sheetViews>
    <sheetView workbookViewId="0">
      <selection activeCell="M2" sqref="M1:M1048576"/>
    </sheetView>
  </sheetViews>
  <sheetFormatPr defaultRowHeight="14.25" x14ac:dyDescent="0.45"/>
  <sheetData>
    <row r="1" spans="1:14" x14ac:dyDescent="0.45">
      <c r="A1" s="36" t="s">
        <v>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x14ac:dyDescent="0.45">
      <c r="A2" s="38" t="s">
        <v>0</v>
      </c>
      <c r="B2" s="38"/>
      <c r="C2" s="39" t="s">
        <v>57</v>
      </c>
      <c r="D2" s="40" t="s">
        <v>58</v>
      </c>
      <c r="E2" s="40" t="s">
        <v>59</v>
      </c>
      <c r="F2" s="40" t="s">
        <v>60</v>
      </c>
      <c r="G2" s="40" t="s">
        <v>61</v>
      </c>
      <c r="H2" s="40" t="s">
        <v>62</v>
      </c>
      <c r="I2" s="40" t="s">
        <v>63</v>
      </c>
      <c r="J2" s="40" t="s">
        <v>64</v>
      </c>
      <c r="K2" s="40" t="s">
        <v>65</v>
      </c>
      <c r="L2" s="40" t="s">
        <v>66</v>
      </c>
      <c r="M2" s="41" t="s">
        <v>67</v>
      </c>
      <c r="N2" s="37"/>
    </row>
    <row r="3" spans="1:14" ht="23.25" x14ac:dyDescent="0.45">
      <c r="A3" s="42" t="s">
        <v>57</v>
      </c>
      <c r="B3" s="43" t="s">
        <v>13</v>
      </c>
      <c r="C3" s="44">
        <v>1</v>
      </c>
      <c r="D3" s="45" t="s">
        <v>68</v>
      </c>
      <c r="E3" s="45" t="s">
        <v>23</v>
      </c>
      <c r="F3" s="45" t="s">
        <v>69</v>
      </c>
      <c r="G3" s="45" t="s">
        <v>43</v>
      </c>
      <c r="H3" s="45" t="s">
        <v>70</v>
      </c>
      <c r="I3" s="45" t="s">
        <v>71</v>
      </c>
      <c r="J3" s="45" t="s">
        <v>72</v>
      </c>
      <c r="K3" s="46">
        <v>0.15549441420369789</v>
      </c>
      <c r="L3" s="45" t="s">
        <v>73</v>
      </c>
      <c r="M3" s="47" t="s">
        <v>168</v>
      </c>
      <c r="N3" s="37"/>
    </row>
    <row r="4" spans="1:14" ht="23.25" x14ac:dyDescent="0.45">
      <c r="A4" s="48"/>
      <c r="B4" s="49" t="s">
        <v>14</v>
      </c>
      <c r="C4" s="50"/>
      <c r="D4" s="51">
        <v>6.4082681008396862E-8</v>
      </c>
      <c r="E4" s="51">
        <v>2.5007654038599195E-6</v>
      </c>
      <c r="F4" s="51">
        <v>2.8167044578480219E-8</v>
      </c>
      <c r="G4" s="51">
        <v>9.9401974810055423E-10</v>
      </c>
      <c r="H4" s="51">
        <v>1.1782205055738868E-12</v>
      </c>
      <c r="I4" s="51">
        <v>1.1883715748905993E-5</v>
      </c>
      <c r="J4" s="51">
        <v>9.9888983633889612E-4</v>
      </c>
      <c r="K4" s="51">
        <v>0.12432643792379958</v>
      </c>
      <c r="L4" s="51">
        <v>8.7088882952002841E-4</v>
      </c>
      <c r="M4" s="52">
        <v>5.4710491772998838E-19</v>
      </c>
      <c r="N4" s="37"/>
    </row>
    <row r="5" spans="1:14" x14ac:dyDescent="0.45">
      <c r="A5" s="53"/>
      <c r="B5" s="54" t="s">
        <v>15</v>
      </c>
      <c r="C5" s="55">
        <v>99</v>
      </c>
      <c r="D5" s="56">
        <v>99</v>
      </c>
      <c r="E5" s="56">
        <v>99</v>
      </c>
      <c r="F5" s="56">
        <v>99</v>
      </c>
      <c r="G5" s="56">
        <v>99</v>
      </c>
      <c r="H5" s="56">
        <v>99</v>
      </c>
      <c r="I5" s="56">
        <v>99</v>
      </c>
      <c r="J5" s="56">
        <v>99</v>
      </c>
      <c r="K5" s="56">
        <v>99</v>
      </c>
      <c r="L5" s="56">
        <v>99</v>
      </c>
      <c r="M5" s="57">
        <v>99</v>
      </c>
      <c r="N5" s="37"/>
    </row>
    <row r="6" spans="1:14" ht="23.25" x14ac:dyDescent="0.45">
      <c r="A6" s="53" t="s">
        <v>58</v>
      </c>
      <c r="B6" s="49" t="s">
        <v>13</v>
      </c>
      <c r="C6" s="58" t="s">
        <v>68</v>
      </c>
      <c r="D6" s="59">
        <v>1</v>
      </c>
      <c r="E6" s="51">
        <v>0.14779774879613361</v>
      </c>
      <c r="F6" s="60" t="s">
        <v>49</v>
      </c>
      <c r="G6" s="60" t="s">
        <v>69</v>
      </c>
      <c r="H6" s="60" t="s">
        <v>74</v>
      </c>
      <c r="I6" s="60" t="s">
        <v>75</v>
      </c>
      <c r="J6" s="51">
        <v>0.10826685199674951</v>
      </c>
      <c r="K6" s="51">
        <v>1.475158608729454E-2</v>
      </c>
      <c r="L6" s="51">
        <v>0.15585543044025102</v>
      </c>
      <c r="M6" s="61" t="s">
        <v>178</v>
      </c>
      <c r="N6" s="37"/>
    </row>
    <row r="7" spans="1:14" ht="23.25" x14ac:dyDescent="0.45">
      <c r="A7" s="48"/>
      <c r="B7" s="49" t="s">
        <v>14</v>
      </c>
      <c r="C7" s="62">
        <v>6.4082681008396862E-8</v>
      </c>
      <c r="D7" s="63"/>
      <c r="E7" s="51">
        <v>0.14431115834095995</v>
      </c>
      <c r="F7" s="51">
        <v>4.4154330346900359E-9</v>
      </c>
      <c r="G7" s="51">
        <v>2.8264367914536717E-8</v>
      </c>
      <c r="H7" s="51">
        <v>7.6419764751426972E-10</v>
      </c>
      <c r="I7" s="51">
        <v>5.6957006737251396E-4</v>
      </c>
      <c r="J7" s="51">
        <v>0.2861075275351842</v>
      </c>
      <c r="K7" s="51">
        <v>0.88477387386664641</v>
      </c>
      <c r="L7" s="51">
        <v>0.12344409151320467</v>
      </c>
      <c r="M7" s="52">
        <v>5.0176177245432829E-12</v>
      </c>
      <c r="N7" s="37"/>
    </row>
    <row r="8" spans="1:14" x14ac:dyDescent="0.45">
      <c r="A8" s="53"/>
      <c r="B8" s="54" t="s">
        <v>15</v>
      </c>
      <c r="C8" s="55">
        <v>99</v>
      </c>
      <c r="D8" s="56">
        <v>99</v>
      </c>
      <c r="E8" s="56">
        <v>99</v>
      </c>
      <c r="F8" s="56">
        <v>99</v>
      </c>
      <c r="G8" s="56">
        <v>99</v>
      </c>
      <c r="H8" s="56">
        <v>99</v>
      </c>
      <c r="I8" s="56">
        <v>99</v>
      </c>
      <c r="J8" s="56">
        <v>99</v>
      </c>
      <c r="K8" s="56">
        <v>99</v>
      </c>
      <c r="L8" s="56">
        <v>99</v>
      </c>
      <c r="M8" s="57">
        <v>99</v>
      </c>
      <c r="N8" s="37"/>
    </row>
    <row r="9" spans="1:14" ht="23.25" x14ac:dyDescent="0.45">
      <c r="A9" s="53" t="s">
        <v>59</v>
      </c>
      <c r="B9" s="49" t="s">
        <v>13</v>
      </c>
      <c r="C9" s="58" t="s">
        <v>23</v>
      </c>
      <c r="D9" s="51">
        <v>0.14779774879613361</v>
      </c>
      <c r="E9" s="59">
        <v>1</v>
      </c>
      <c r="F9" s="60" t="s">
        <v>77</v>
      </c>
      <c r="G9" s="60" t="s">
        <v>78</v>
      </c>
      <c r="H9" s="60" t="s">
        <v>79</v>
      </c>
      <c r="I9" s="60" t="s">
        <v>80</v>
      </c>
      <c r="J9" s="60" t="s">
        <v>81</v>
      </c>
      <c r="K9" s="60" t="s">
        <v>82</v>
      </c>
      <c r="L9" s="60" t="s">
        <v>83</v>
      </c>
      <c r="M9" s="61" t="s">
        <v>179</v>
      </c>
      <c r="N9" s="37"/>
    </row>
    <row r="10" spans="1:14" ht="23.25" x14ac:dyDescent="0.45">
      <c r="A10" s="48"/>
      <c r="B10" s="49" t="s">
        <v>14</v>
      </c>
      <c r="C10" s="62">
        <v>2.5007654038599195E-6</v>
      </c>
      <c r="D10" s="51">
        <v>0.14431115834095995</v>
      </c>
      <c r="E10" s="63"/>
      <c r="F10" s="51">
        <v>9.5765822503333809E-3</v>
      </c>
      <c r="G10" s="51">
        <v>4.6470403964194535E-3</v>
      </c>
      <c r="H10" s="51">
        <v>3.0245822953659872E-2</v>
      </c>
      <c r="I10" s="51">
        <v>2.2396877423573006E-2</v>
      </c>
      <c r="J10" s="51">
        <v>1.6032402072499181E-5</v>
      </c>
      <c r="K10" s="51">
        <v>4.7311705965568981E-2</v>
      </c>
      <c r="L10" s="51">
        <v>4.1715617531942063E-2</v>
      </c>
      <c r="M10" s="52">
        <v>7.6346276444518506E-8</v>
      </c>
      <c r="N10" s="37"/>
    </row>
    <row r="11" spans="1:14" x14ac:dyDescent="0.45">
      <c r="A11" s="53"/>
      <c r="B11" s="54" t="s">
        <v>15</v>
      </c>
      <c r="C11" s="55">
        <v>99</v>
      </c>
      <c r="D11" s="56">
        <v>99</v>
      </c>
      <c r="E11" s="56">
        <v>99</v>
      </c>
      <c r="F11" s="56">
        <v>99</v>
      </c>
      <c r="G11" s="56">
        <v>99</v>
      </c>
      <c r="H11" s="56">
        <v>99</v>
      </c>
      <c r="I11" s="56">
        <v>99</v>
      </c>
      <c r="J11" s="56">
        <v>99</v>
      </c>
      <c r="K11" s="56">
        <v>99</v>
      </c>
      <c r="L11" s="56">
        <v>99</v>
      </c>
      <c r="M11" s="57">
        <v>99</v>
      </c>
      <c r="N11" s="37"/>
    </row>
    <row r="12" spans="1:14" ht="23.25" x14ac:dyDescent="0.45">
      <c r="A12" s="53" t="s">
        <v>60</v>
      </c>
      <c r="B12" s="49" t="s">
        <v>13</v>
      </c>
      <c r="C12" s="58" t="s">
        <v>69</v>
      </c>
      <c r="D12" s="60" t="s">
        <v>49</v>
      </c>
      <c r="E12" s="60" t="s">
        <v>77</v>
      </c>
      <c r="F12" s="59">
        <v>1</v>
      </c>
      <c r="G12" s="60" t="s">
        <v>85</v>
      </c>
      <c r="H12" s="60" t="s">
        <v>86</v>
      </c>
      <c r="I12" s="60" t="s">
        <v>87</v>
      </c>
      <c r="J12" s="60" t="s">
        <v>88</v>
      </c>
      <c r="K12" s="51">
        <v>0.13468004711292292</v>
      </c>
      <c r="L12" s="60" t="s">
        <v>77</v>
      </c>
      <c r="M12" s="61" t="s">
        <v>180</v>
      </c>
      <c r="N12" s="37"/>
    </row>
    <row r="13" spans="1:14" ht="23.25" x14ac:dyDescent="0.45">
      <c r="A13" s="48"/>
      <c r="B13" s="49" t="s">
        <v>14</v>
      </c>
      <c r="C13" s="62">
        <v>2.8167044578480219E-8</v>
      </c>
      <c r="D13" s="51">
        <v>4.4154330346900359E-9</v>
      </c>
      <c r="E13" s="51">
        <v>9.5765822503333809E-3</v>
      </c>
      <c r="F13" s="63"/>
      <c r="G13" s="51">
        <v>1.7704472737548587E-31</v>
      </c>
      <c r="H13" s="51">
        <v>4.3056795511194996E-15</v>
      </c>
      <c r="I13" s="51">
        <v>4.630031840195912E-6</v>
      </c>
      <c r="J13" s="51">
        <v>5.9030462778616565E-4</v>
      </c>
      <c r="K13" s="51">
        <v>0.18381667295292042</v>
      </c>
      <c r="L13" s="51">
        <v>9.5875595922443636E-3</v>
      </c>
      <c r="M13" s="52">
        <v>2.2322138062113171E-20</v>
      </c>
      <c r="N13" s="37"/>
    </row>
    <row r="14" spans="1:14" x14ac:dyDescent="0.45">
      <c r="A14" s="53"/>
      <c r="B14" s="54" t="s">
        <v>15</v>
      </c>
      <c r="C14" s="55">
        <v>99</v>
      </c>
      <c r="D14" s="56">
        <v>99</v>
      </c>
      <c r="E14" s="56">
        <v>99</v>
      </c>
      <c r="F14" s="56">
        <v>99</v>
      </c>
      <c r="G14" s="56">
        <v>99</v>
      </c>
      <c r="H14" s="56">
        <v>99</v>
      </c>
      <c r="I14" s="56">
        <v>99</v>
      </c>
      <c r="J14" s="56">
        <v>99</v>
      </c>
      <c r="K14" s="56">
        <v>99</v>
      </c>
      <c r="L14" s="56">
        <v>99</v>
      </c>
      <c r="M14" s="57">
        <v>99</v>
      </c>
      <c r="N14" s="37"/>
    </row>
    <row r="15" spans="1:14" ht="23.25" x14ac:dyDescent="0.45">
      <c r="A15" s="53" t="s">
        <v>61</v>
      </c>
      <c r="B15" s="49" t="s">
        <v>13</v>
      </c>
      <c r="C15" s="58" t="s">
        <v>43</v>
      </c>
      <c r="D15" s="60" t="s">
        <v>69</v>
      </c>
      <c r="E15" s="60" t="s">
        <v>78</v>
      </c>
      <c r="F15" s="60" t="s">
        <v>85</v>
      </c>
      <c r="G15" s="59">
        <v>1</v>
      </c>
      <c r="H15" s="60" t="s">
        <v>90</v>
      </c>
      <c r="I15" s="60" t="s">
        <v>91</v>
      </c>
      <c r="J15" s="60" t="s">
        <v>92</v>
      </c>
      <c r="K15" s="51">
        <v>0.10263872792193197</v>
      </c>
      <c r="L15" s="60" t="s">
        <v>93</v>
      </c>
      <c r="M15" s="61" t="s">
        <v>181</v>
      </c>
      <c r="N15" s="37"/>
    </row>
    <row r="16" spans="1:14" ht="23.25" x14ac:dyDescent="0.45">
      <c r="A16" s="48"/>
      <c r="B16" s="49" t="s">
        <v>14</v>
      </c>
      <c r="C16" s="62">
        <v>9.9401974810055423E-10</v>
      </c>
      <c r="D16" s="51">
        <v>2.8264367914536717E-8</v>
      </c>
      <c r="E16" s="51">
        <v>4.6470403964194535E-3</v>
      </c>
      <c r="F16" s="51">
        <v>1.7704472737548587E-31</v>
      </c>
      <c r="G16" s="63"/>
      <c r="H16" s="51">
        <v>7.9430086666920864E-19</v>
      </c>
      <c r="I16" s="51">
        <v>1.8270785553695642E-6</v>
      </c>
      <c r="J16" s="51">
        <v>4.2730654734706591E-4</v>
      </c>
      <c r="K16" s="51">
        <v>0.31204259804935675</v>
      </c>
      <c r="L16" s="51">
        <v>9.0119963475041275E-3</v>
      </c>
      <c r="M16" s="52">
        <v>1.4653081700554051E-21</v>
      </c>
      <c r="N16" s="37"/>
    </row>
    <row r="17" spans="1:14" x14ac:dyDescent="0.45">
      <c r="A17" s="53"/>
      <c r="B17" s="54" t="s">
        <v>15</v>
      </c>
      <c r="C17" s="55">
        <v>99</v>
      </c>
      <c r="D17" s="56">
        <v>99</v>
      </c>
      <c r="E17" s="56">
        <v>99</v>
      </c>
      <c r="F17" s="56">
        <v>99</v>
      </c>
      <c r="G17" s="56">
        <v>99</v>
      </c>
      <c r="H17" s="56">
        <v>99</v>
      </c>
      <c r="I17" s="56">
        <v>99</v>
      </c>
      <c r="J17" s="56">
        <v>99</v>
      </c>
      <c r="K17" s="56">
        <v>99</v>
      </c>
      <c r="L17" s="56">
        <v>99</v>
      </c>
      <c r="M17" s="57">
        <v>99</v>
      </c>
      <c r="N17" s="37"/>
    </row>
    <row r="18" spans="1:14" ht="23.25" x14ac:dyDescent="0.45">
      <c r="A18" s="53" t="s">
        <v>62</v>
      </c>
      <c r="B18" s="49" t="s">
        <v>13</v>
      </c>
      <c r="C18" s="58" t="s">
        <v>70</v>
      </c>
      <c r="D18" s="60" t="s">
        <v>74</v>
      </c>
      <c r="E18" s="60" t="s">
        <v>79</v>
      </c>
      <c r="F18" s="60" t="s">
        <v>86</v>
      </c>
      <c r="G18" s="60" t="s">
        <v>90</v>
      </c>
      <c r="H18" s="59">
        <v>1</v>
      </c>
      <c r="I18" s="60" t="s">
        <v>95</v>
      </c>
      <c r="J18" s="60" t="s">
        <v>96</v>
      </c>
      <c r="K18" s="60" t="s">
        <v>97</v>
      </c>
      <c r="L18" s="60" t="s">
        <v>98</v>
      </c>
      <c r="M18" s="61" t="s">
        <v>182</v>
      </c>
      <c r="N18" s="37"/>
    </row>
    <row r="19" spans="1:14" ht="23.25" x14ac:dyDescent="0.45">
      <c r="A19" s="48"/>
      <c r="B19" s="49" t="s">
        <v>14</v>
      </c>
      <c r="C19" s="62">
        <v>1.1782205055738868E-12</v>
      </c>
      <c r="D19" s="51">
        <v>7.6419764751426972E-10</v>
      </c>
      <c r="E19" s="51">
        <v>3.0245822953659872E-2</v>
      </c>
      <c r="F19" s="51">
        <v>4.3056795511194996E-15</v>
      </c>
      <c r="G19" s="51">
        <v>7.9430086666920864E-19</v>
      </c>
      <c r="H19" s="63"/>
      <c r="I19" s="51">
        <v>9.9830135218060207E-6</v>
      </c>
      <c r="J19" s="51">
        <v>7.1351196515269093E-5</v>
      </c>
      <c r="K19" s="51">
        <v>8.2139625703471454E-4</v>
      </c>
      <c r="L19" s="51">
        <v>4.791179686209438E-4</v>
      </c>
      <c r="M19" s="52">
        <v>9.6159920345595445E-25</v>
      </c>
      <c r="N19" s="37"/>
    </row>
    <row r="20" spans="1:14" x14ac:dyDescent="0.45">
      <c r="A20" s="53"/>
      <c r="B20" s="54" t="s">
        <v>15</v>
      </c>
      <c r="C20" s="55">
        <v>99</v>
      </c>
      <c r="D20" s="56">
        <v>99</v>
      </c>
      <c r="E20" s="56">
        <v>99</v>
      </c>
      <c r="F20" s="56">
        <v>99</v>
      </c>
      <c r="G20" s="56">
        <v>99</v>
      </c>
      <c r="H20" s="56">
        <v>99</v>
      </c>
      <c r="I20" s="56">
        <v>99</v>
      </c>
      <c r="J20" s="56">
        <v>99</v>
      </c>
      <c r="K20" s="56">
        <v>99</v>
      </c>
      <c r="L20" s="56">
        <v>99</v>
      </c>
      <c r="M20" s="57">
        <v>99</v>
      </c>
      <c r="N20" s="37"/>
    </row>
    <row r="21" spans="1:14" ht="23.25" x14ac:dyDescent="0.45">
      <c r="A21" s="53" t="s">
        <v>63</v>
      </c>
      <c r="B21" s="49" t="s">
        <v>13</v>
      </c>
      <c r="C21" s="58" t="s">
        <v>71</v>
      </c>
      <c r="D21" s="60" t="s">
        <v>75</v>
      </c>
      <c r="E21" s="60" t="s">
        <v>80</v>
      </c>
      <c r="F21" s="60" t="s">
        <v>87</v>
      </c>
      <c r="G21" s="60" t="s">
        <v>91</v>
      </c>
      <c r="H21" s="60" t="s">
        <v>95</v>
      </c>
      <c r="I21" s="59">
        <v>1</v>
      </c>
      <c r="J21" s="60" t="s">
        <v>100</v>
      </c>
      <c r="K21" s="60" t="s">
        <v>101</v>
      </c>
      <c r="L21" s="60" t="s">
        <v>102</v>
      </c>
      <c r="M21" s="61" t="s">
        <v>183</v>
      </c>
      <c r="N21" s="37"/>
    </row>
    <row r="22" spans="1:14" ht="23.25" x14ac:dyDescent="0.45">
      <c r="A22" s="48"/>
      <c r="B22" s="49" t="s">
        <v>14</v>
      </c>
      <c r="C22" s="62">
        <v>1.1883715748905993E-5</v>
      </c>
      <c r="D22" s="51">
        <v>5.6957006737251396E-4</v>
      </c>
      <c r="E22" s="51">
        <v>2.2396877423573006E-2</v>
      </c>
      <c r="F22" s="51">
        <v>4.630031840195912E-6</v>
      </c>
      <c r="G22" s="51">
        <v>1.8270785553695642E-6</v>
      </c>
      <c r="H22" s="51">
        <v>9.9830135218060207E-6</v>
      </c>
      <c r="I22" s="63"/>
      <c r="J22" s="51">
        <v>9.2015566059030598E-9</v>
      </c>
      <c r="K22" s="51">
        <v>2.8808776456244632E-3</v>
      </c>
      <c r="L22" s="51">
        <v>8.6606475309631474E-4</v>
      </c>
      <c r="M22" s="52">
        <v>6.6945831865757445E-14</v>
      </c>
      <c r="N22" s="37"/>
    </row>
    <row r="23" spans="1:14" x14ac:dyDescent="0.45">
      <c r="A23" s="53"/>
      <c r="B23" s="54" t="s">
        <v>15</v>
      </c>
      <c r="C23" s="55">
        <v>99</v>
      </c>
      <c r="D23" s="56">
        <v>99</v>
      </c>
      <c r="E23" s="56">
        <v>99</v>
      </c>
      <c r="F23" s="56">
        <v>99</v>
      </c>
      <c r="G23" s="56">
        <v>99</v>
      </c>
      <c r="H23" s="56">
        <v>99</v>
      </c>
      <c r="I23" s="56">
        <v>99</v>
      </c>
      <c r="J23" s="56">
        <v>99</v>
      </c>
      <c r="K23" s="56">
        <v>99</v>
      </c>
      <c r="L23" s="56">
        <v>99</v>
      </c>
      <c r="M23" s="57">
        <v>99</v>
      </c>
      <c r="N23" s="37"/>
    </row>
    <row r="24" spans="1:14" ht="23.25" x14ac:dyDescent="0.45">
      <c r="A24" s="53" t="s">
        <v>64</v>
      </c>
      <c r="B24" s="49" t="s">
        <v>13</v>
      </c>
      <c r="C24" s="58" t="s">
        <v>72</v>
      </c>
      <c r="D24" s="51">
        <v>0.10826685199674951</v>
      </c>
      <c r="E24" s="60" t="s">
        <v>81</v>
      </c>
      <c r="F24" s="60" t="s">
        <v>88</v>
      </c>
      <c r="G24" s="60" t="s">
        <v>92</v>
      </c>
      <c r="H24" s="60" t="s">
        <v>96</v>
      </c>
      <c r="I24" s="60" t="s">
        <v>100</v>
      </c>
      <c r="J24" s="59">
        <v>1</v>
      </c>
      <c r="K24" s="60" t="s">
        <v>104</v>
      </c>
      <c r="L24" s="60" t="s">
        <v>105</v>
      </c>
      <c r="M24" s="61" t="s">
        <v>184</v>
      </c>
      <c r="N24" s="37"/>
    </row>
    <row r="25" spans="1:14" ht="23.25" x14ac:dyDescent="0.45">
      <c r="A25" s="48"/>
      <c r="B25" s="49" t="s">
        <v>14</v>
      </c>
      <c r="C25" s="62">
        <v>9.9888983633889612E-4</v>
      </c>
      <c r="D25" s="51">
        <v>0.2861075275351842</v>
      </c>
      <c r="E25" s="51">
        <v>1.6032402072499181E-5</v>
      </c>
      <c r="F25" s="51">
        <v>5.9030462778616565E-4</v>
      </c>
      <c r="G25" s="51">
        <v>4.2730654734706591E-4</v>
      </c>
      <c r="H25" s="51">
        <v>7.1351196515269093E-5</v>
      </c>
      <c r="I25" s="51">
        <v>9.2015566059030598E-9</v>
      </c>
      <c r="J25" s="63"/>
      <c r="K25" s="51">
        <v>1.1416212750374011E-7</v>
      </c>
      <c r="L25" s="51">
        <v>4.4883575040957589E-6</v>
      </c>
      <c r="M25" s="52">
        <v>6.2813945805605049E-13</v>
      </c>
      <c r="N25" s="37"/>
    </row>
    <row r="26" spans="1:14" x14ac:dyDescent="0.45">
      <c r="A26" s="53"/>
      <c r="B26" s="54" t="s">
        <v>15</v>
      </c>
      <c r="C26" s="55">
        <v>99</v>
      </c>
      <c r="D26" s="56">
        <v>99</v>
      </c>
      <c r="E26" s="56">
        <v>99</v>
      </c>
      <c r="F26" s="56">
        <v>99</v>
      </c>
      <c r="G26" s="56">
        <v>99</v>
      </c>
      <c r="H26" s="56">
        <v>99</v>
      </c>
      <c r="I26" s="56">
        <v>99</v>
      </c>
      <c r="J26" s="56">
        <v>99</v>
      </c>
      <c r="K26" s="56">
        <v>99</v>
      </c>
      <c r="L26" s="56">
        <v>99</v>
      </c>
      <c r="M26" s="57">
        <v>99</v>
      </c>
      <c r="N26" s="37"/>
    </row>
    <row r="27" spans="1:14" ht="23.25" x14ac:dyDescent="0.45">
      <c r="A27" s="53" t="s">
        <v>65</v>
      </c>
      <c r="B27" s="49" t="s">
        <v>13</v>
      </c>
      <c r="C27" s="62">
        <v>0.15549441420369789</v>
      </c>
      <c r="D27" s="51">
        <v>1.475158608729454E-2</v>
      </c>
      <c r="E27" s="60" t="s">
        <v>82</v>
      </c>
      <c r="F27" s="51">
        <v>0.13468004711292292</v>
      </c>
      <c r="G27" s="51">
        <v>0.10263872792193197</v>
      </c>
      <c r="H27" s="60" t="s">
        <v>97</v>
      </c>
      <c r="I27" s="60" t="s">
        <v>101</v>
      </c>
      <c r="J27" s="60" t="s">
        <v>104</v>
      </c>
      <c r="K27" s="59">
        <v>1</v>
      </c>
      <c r="L27" s="60" t="s">
        <v>107</v>
      </c>
      <c r="M27" s="61" t="s">
        <v>185</v>
      </c>
      <c r="N27" s="37"/>
    </row>
    <row r="28" spans="1:14" ht="23.25" x14ac:dyDescent="0.45">
      <c r="A28" s="48"/>
      <c r="B28" s="49" t="s">
        <v>14</v>
      </c>
      <c r="C28" s="62">
        <v>0.12432643792379958</v>
      </c>
      <c r="D28" s="51">
        <v>0.88477387386664641</v>
      </c>
      <c r="E28" s="51">
        <v>4.7311705965568981E-2</v>
      </c>
      <c r="F28" s="51">
        <v>0.18381667295292042</v>
      </c>
      <c r="G28" s="51">
        <v>0.31204259804935675</v>
      </c>
      <c r="H28" s="51">
        <v>8.2139625703471454E-4</v>
      </c>
      <c r="I28" s="51">
        <v>2.8808776456244632E-3</v>
      </c>
      <c r="J28" s="51">
        <v>1.1416212750374011E-7</v>
      </c>
      <c r="K28" s="63"/>
      <c r="L28" s="51">
        <v>4.3192408771519989E-23</v>
      </c>
      <c r="M28" s="52">
        <v>1.0226085445353946E-7</v>
      </c>
      <c r="N28" s="37"/>
    </row>
    <row r="29" spans="1:14" x14ac:dyDescent="0.45">
      <c r="A29" s="53"/>
      <c r="B29" s="54" t="s">
        <v>15</v>
      </c>
      <c r="C29" s="55">
        <v>99</v>
      </c>
      <c r="D29" s="56">
        <v>99</v>
      </c>
      <c r="E29" s="56">
        <v>99</v>
      </c>
      <c r="F29" s="56">
        <v>99</v>
      </c>
      <c r="G29" s="56">
        <v>99</v>
      </c>
      <c r="H29" s="56">
        <v>99</v>
      </c>
      <c r="I29" s="56">
        <v>99</v>
      </c>
      <c r="J29" s="56">
        <v>99</v>
      </c>
      <c r="K29" s="56">
        <v>99</v>
      </c>
      <c r="L29" s="56">
        <v>99</v>
      </c>
      <c r="M29" s="57">
        <v>99</v>
      </c>
      <c r="N29" s="37"/>
    </row>
    <row r="30" spans="1:14" ht="23.25" x14ac:dyDescent="0.45">
      <c r="A30" s="53" t="s">
        <v>66</v>
      </c>
      <c r="B30" s="49" t="s">
        <v>13</v>
      </c>
      <c r="C30" s="58" t="s">
        <v>73</v>
      </c>
      <c r="D30" s="51">
        <v>0.15585543044025102</v>
      </c>
      <c r="E30" s="60" t="s">
        <v>83</v>
      </c>
      <c r="F30" s="60" t="s">
        <v>77</v>
      </c>
      <c r="G30" s="60" t="s">
        <v>93</v>
      </c>
      <c r="H30" s="60" t="s">
        <v>98</v>
      </c>
      <c r="I30" s="60" t="s">
        <v>102</v>
      </c>
      <c r="J30" s="60" t="s">
        <v>105</v>
      </c>
      <c r="K30" s="60" t="s">
        <v>107</v>
      </c>
      <c r="L30" s="59">
        <v>1</v>
      </c>
      <c r="M30" s="61" t="s">
        <v>186</v>
      </c>
      <c r="N30" s="37"/>
    </row>
    <row r="31" spans="1:14" ht="23.25" x14ac:dyDescent="0.45">
      <c r="A31" s="48"/>
      <c r="B31" s="49" t="s">
        <v>14</v>
      </c>
      <c r="C31" s="62">
        <v>8.7088882952002841E-4</v>
      </c>
      <c r="D31" s="51">
        <v>0.12344409151320467</v>
      </c>
      <c r="E31" s="51">
        <v>4.1715617531942063E-2</v>
      </c>
      <c r="F31" s="51">
        <v>9.5875595922443636E-3</v>
      </c>
      <c r="G31" s="51">
        <v>9.0119963475041275E-3</v>
      </c>
      <c r="H31" s="51">
        <v>4.791179686209438E-4</v>
      </c>
      <c r="I31" s="51">
        <v>8.6606475309631474E-4</v>
      </c>
      <c r="J31" s="51">
        <v>4.4883575040957589E-6</v>
      </c>
      <c r="K31" s="51">
        <v>4.3192408771519989E-23</v>
      </c>
      <c r="L31" s="63"/>
      <c r="M31" s="52">
        <v>7.0384221726789664E-11</v>
      </c>
      <c r="N31" s="37"/>
    </row>
    <row r="32" spans="1:14" x14ac:dyDescent="0.45">
      <c r="A32" s="53"/>
      <c r="B32" s="54" t="s">
        <v>15</v>
      </c>
      <c r="C32" s="55">
        <v>99</v>
      </c>
      <c r="D32" s="56">
        <v>99</v>
      </c>
      <c r="E32" s="56">
        <v>99</v>
      </c>
      <c r="F32" s="56">
        <v>99</v>
      </c>
      <c r="G32" s="56">
        <v>99</v>
      </c>
      <c r="H32" s="56">
        <v>99</v>
      </c>
      <c r="I32" s="56">
        <v>99</v>
      </c>
      <c r="J32" s="56">
        <v>99</v>
      </c>
      <c r="K32" s="56">
        <v>99</v>
      </c>
      <c r="L32" s="56">
        <v>99</v>
      </c>
      <c r="M32" s="57">
        <v>99</v>
      </c>
      <c r="N32" s="37"/>
    </row>
    <row r="33" spans="1:14" ht="23.25" x14ac:dyDescent="0.45">
      <c r="A33" s="53" t="s">
        <v>67</v>
      </c>
      <c r="B33" s="49" t="s">
        <v>13</v>
      </c>
      <c r="C33" s="58" t="s">
        <v>27</v>
      </c>
      <c r="D33" s="60" t="s">
        <v>76</v>
      </c>
      <c r="E33" s="60" t="s">
        <v>84</v>
      </c>
      <c r="F33" s="60" t="s">
        <v>89</v>
      </c>
      <c r="G33" s="60" t="s">
        <v>94</v>
      </c>
      <c r="H33" s="60" t="s">
        <v>99</v>
      </c>
      <c r="I33" s="60" t="s">
        <v>103</v>
      </c>
      <c r="J33" s="60" t="s">
        <v>106</v>
      </c>
      <c r="K33" s="60" t="s">
        <v>108</v>
      </c>
      <c r="L33" s="60" t="s">
        <v>109</v>
      </c>
      <c r="M33" s="64">
        <v>1</v>
      </c>
      <c r="N33" s="37"/>
    </row>
    <row r="34" spans="1:14" ht="23.25" x14ac:dyDescent="0.45">
      <c r="A34" s="48"/>
      <c r="B34" s="49" t="s">
        <v>14</v>
      </c>
      <c r="C34" s="62">
        <v>5.4710491772998838E-19</v>
      </c>
      <c r="D34" s="51">
        <v>5.0176177245432829E-12</v>
      </c>
      <c r="E34" s="51">
        <v>7.6346276444518506E-8</v>
      </c>
      <c r="F34" s="51">
        <v>2.2322138062113171E-20</v>
      </c>
      <c r="G34" s="51">
        <v>1.4653081700554051E-21</v>
      </c>
      <c r="H34" s="51">
        <v>9.6159920345595445E-25</v>
      </c>
      <c r="I34" s="51">
        <v>6.6945831865757445E-14</v>
      </c>
      <c r="J34" s="51">
        <v>6.2813945805605049E-13</v>
      </c>
      <c r="K34" s="51">
        <v>1.0226085445353946E-7</v>
      </c>
      <c r="L34" s="51">
        <v>7.0384221726789664E-11</v>
      </c>
      <c r="M34" s="65"/>
      <c r="N34" s="37"/>
    </row>
    <row r="35" spans="1:14" x14ac:dyDescent="0.45">
      <c r="A35" s="66"/>
      <c r="B35" s="67" t="s">
        <v>15</v>
      </c>
      <c r="C35" s="68">
        <v>99</v>
      </c>
      <c r="D35" s="69">
        <v>99</v>
      </c>
      <c r="E35" s="69">
        <v>99</v>
      </c>
      <c r="F35" s="69">
        <v>99</v>
      </c>
      <c r="G35" s="69">
        <v>99</v>
      </c>
      <c r="H35" s="69">
        <v>99</v>
      </c>
      <c r="I35" s="69">
        <v>99</v>
      </c>
      <c r="J35" s="69">
        <v>99</v>
      </c>
      <c r="K35" s="69">
        <v>99</v>
      </c>
      <c r="L35" s="69">
        <v>99</v>
      </c>
      <c r="M35" s="70">
        <v>99</v>
      </c>
      <c r="N35" s="37"/>
    </row>
    <row r="36" spans="1:14" x14ac:dyDescent="0.45">
      <c r="A36" s="71" t="s">
        <v>16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37"/>
    </row>
    <row r="37" spans="1:14" x14ac:dyDescent="0.45">
      <c r="A37" s="71" t="s">
        <v>17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37"/>
    </row>
  </sheetData>
  <mergeCells count="15">
    <mergeCell ref="A33:A35"/>
    <mergeCell ref="A36:M36"/>
    <mergeCell ref="A37:M37"/>
    <mergeCell ref="A15:A17"/>
    <mergeCell ref="A18:A20"/>
    <mergeCell ref="A21:A23"/>
    <mergeCell ref="A24:A26"/>
    <mergeCell ref="A27:A29"/>
    <mergeCell ref="A30:A32"/>
    <mergeCell ref="A1:M1"/>
    <mergeCell ref="A2:B2"/>
    <mergeCell ref="A3:A5"/>
    <mergeCell ref="A6:A8"/>
    <mergeCell ref="A9:A11"/>
    <mergeCell ref="A12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15C4-F40C-4AD9-AAF0-A88BFC810145}">
  <dimension ref="A1:N37"/>
  <sheetViews>
    <sheetView workbookViewId="0">
      <selection activeCell="M2" sqref="M1:M1048576"/>
    </sheetView>
  </sheetViews>
  <sheetFormatPr defaultRowHeight="14.25" x14ac:dyDescent="0.45"/>
  <sheetData>
    <row r="1" spans="1:14" x14ac:dyDescent="0.45">
      <c r="A1" s="72" t="s">
        <v>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1:14" ht="35.65" x14ac:dyDescent="0.45">
      <c r="A2" s="74" t="s">
        <v>0</v>
      </c>
      <c r="B2" s="74"/>
      <c r="C2" s="75" t="s">
        <v>110</v>
      </c>
      <c r="D2" s="76" t="s">
        <v>111</v>
      </c>
      <c r="E2" s="76" t="s">
        <v>112</v>
      </c>
      <c r="F2" s="76" t="s">
        <v>113</v>
      </c>
      <c r="G2" s="76" t="s">
        <v>114</v>
      </c>
      <c r="H2" s="76" t="s">
        <v>115</v>
      </c>
      <c r="I2" s="76" t="s">
        <v>116</v>
      </c>
      <c r="J2" s="76" t="s">
        <v>117</v>
      </c>
      <c r="K2" s="76" t="s">
        <v>118</v>
      </c>
      <c r="L2" s="76" t="s">
        <v>119</v>
      </c>
      <c r="M2" s="77" t="s">
        <v>120</v>
      </c>
      <c r="N2" s="73"/>
    </row>
    <row r="3" spans="1:14" ht="23.25" x14ac:dyDescent="0.45">
      <c r="A3" s="78" t="s">
        <v>110</v>
      </c>
      <c r="B3" s="79" t="s">
        <v>13</v>
      </c>
      <c r="C3" s="80">
        <v>1</v>
      </c>
      <c r="D3" s="81" t="s">
        <v>121</v>
      </c>
      <c r="E3" s="81" t="s">
        <v>122</v>
      </c>
      <c r="F3" s="82">
        <v>3.543050989106486E-2</v>
      </c>
      <c r="G3" s="82">
        <v>0.18960431934778618</v>
      </c>
      <c r="H3" s="81" t="s">
        <v>123</v>
      </c>
      <c r="I3" s="81" t="s">
        <v>122</v>
      </c>
      <c r="J3" s="81" t="s">
        <v>124</v>
      </c>
      <c r="K3" s="82">
        <v>0.11247242996043795</v>
      </c>
      <c r="L3" s="82">
        <v>-3.8414131776628571E-2</v>
      </c>
      <c r="M3" s="83" t="s">
        <v>187</v>
      </c>
      <c r="N3" s="73"/>
    </row>
    <row r="4" spans="1:14" ht="23.25" x14ac:dyDescent="0.45">
      <c r="A4" s="84"/>
      <c r="B4" s="85" t="s">
        <v>14</v>
      </c>
      <c r="C4" s="86"/>
      <c r="D4" s="87">
        <v>9.9794427024717282E-15</v>
      </c>
      <c r="E4" s="87">
        <v>4.8375286271007616E-2</v>
      </c>
      <c r="F4" s="87">
        <v>0.72771907254192603</v>
      </c>
      <c r="G4" s="87">
        <v>6.0153314521985482E-2</v>
      </c>
      <c r="H4" s="87">
        <v>3.2816258099358023E-2</v>
      </c>
      <c r="I4" s="87">
        <v>4.8855322654463421E-2</v>
      </c>
      <c r="J4" s="87">
        <v>2.4935481685026441E-2</v>
      </c>
      <c r="K4" s="87">
        <v>0.26769121796109896</v>
      </c>
      <c r="L4" s="87">
        <v>0.70580136015647521</v>
      </c>
      <c r="M4" s="88">
        <v>3.890156060722654E-5</v>
      </c>
      <c r="N4" s="73"/>
    </row>
    <row r="5" spans="1:14" x14ac:dyDescent="0.45">
      <c r="A5" s="89"/>
      <c r="B5" s="90" t="s">
        <v>15</v>
      </c>
      <c r="C5" s="91">
        <v>99</v>
      </c>
      <c r="D5" s="92">
        <v>99</v>
      </c>
      <c r="E5" s="92">
        <v>99</v>
      </c>
      <c r="F5" s="92">
        <v>99</v>
      </c>
      <c r="G5" s="92">
        <v>99</v>
      </c>
      <c r="H5" s="92">
        <v>99</v>
      </c>
      <c r="I5" s="92">
        <v>99</v>
      </c>
      <c r="J5" s="92">
        <v>99</v>
      </c>
      <c r="K5" s="92">
        <v>99</v>
      </c>
      <c r="L5" s="92">
        <v>99</v>
      </c>
      <c r="M5" s="93">
        <v>99</v>
      </c>
      <c r="N5" s="73"/>
    </row>
    <row r="6" spans="1:14" ht="23.25" x14ac:dyDescent="0.45">
      <c r="A6" s="89" t="s">
        <v>111</v>
      </c>
      <c r="B6" s="85" t="s">
        <v>13</v>
      </c>
      <c r="C6" s="94" t="s">
        <v>121</v>
      </c>
      <c r="D6" s="95">
        <v>1</v>
      </c>
      <c r="E6" s="96" t="s">
        <v>126</v>
      </c>
      <c r="F6" s="96" t="s">
        <v>127</v>
      </c>
      <c r="G6" s="96" t="s">
        <v>56</v>
      </c>
      <c r="H6" s="96" t="s">
        <v>128</v>
      </c>
      <c r="I6" s="96" t="s">
        <v>129</v>
      </c>
      <c r="J6" s="96" t="s">
        <v>130</v>
      </c>
      <c r="K6" s="96" t="s">
        <v>131</v>
      </c>
      <c r="L6" s="87">
        <v>0.17470100112659154</v>
      </c>
      <c r="M6" s="97" t="s">
        <v>188</v>
      </c>
      <c r="N6" s="73"/>
    </row>
    <row r="7" spans="1:14" ht="23.25" x14ac:dyDescent="0.45">
      <c r="A7" s="84"/>
      <c r="B7" s="85" t="s">
        <v>14</v>
      </c>
      <c r="C7" s="98">
        <v>9.9794427024717282E-15</v>
      </c>
      <c r="D7" s="99"/>
      <c r="E7" s="87">
        <v>6.3488087007195874E-3</v>
      </c>
      <c r="F7" s="87">
        <v>1.0571422191869731E-2</v>
      </c>
      <c r="G7" s="87">
        <v>7.6402254668272399E-4</v>
      </c>
      <c r="H7" s="87">
        <v>1.3111300703044128E-4</v>
      </c>
      <c r="I7" s="87">
        <v>3.158630090470349E-3</v>
      </c>
      <c r="J7" s="87">
        <v>4.9434507459310102E-5</v>
      </c>
      <c r="K7" s="87">
        <v>2.16357624732408E-2</v>
      </c>
      <c r="L7" s="87">
        <v>8.3718971628697444E-2</v>
      </c>
      <c r="M7" s="88">
        <v>2.845222870821514E-9</v>
      </c>
      <c r="N7" s="73"/>
    </row>
    <row r="8" spans="1:14" x14ac:dyDescent="0.45">
      <c r="A8" s="89"/>
      <c r="B8" s="90" t="s">
        <v>15</v>
      </c>
      <c r="C8" s="91">
        <v>99</v>
      </c>
      <c r="D8" s="92">
        <v>99</v>
      </c>
      <c r="E8" s="92">
        <v>99</v>
      </c>
      <c r="F8" s="92">
        <v>99</v>
      </c>
      <c r="G8" s="92">
        <v>99</v>
      </c>
      <c r="H8" s="92">
        <v>99</v>
      </c>
      <c r="I8" s="92">
        <v>99</v>
      </c>
      <c r="J8" s="92">
        <v>99</v>
      </c>
      <c r="K8" s="92">
        <v>99</v>
      </c>
      <c r="L8" s="92">
        <v>99</v>
      </c>
      <c r="M8" s="93">
        <v>99</v>
      </c>
      <c r="N8" s="73"/>
    </row>
    <row r="9" spans="1:14" ht="23.25" x14ac:dyDescent="0.45">
      <c r="A9" s="89" t="s">
        <v>112</v>
      </c>
      <c r="B9" s="85" t="s">
        <v>13</v>
      </c>
      <c r="C9" s="94" t="s">
        <v>122</v>
      </c>
      <c r="D9" s="96" t="s">
        <v>126</v>
      </c>
      <c r="E9" s="95">
        <v>1</v>
      </c>
      <c r="F9" s="96" t="s">
        <v>133</v>
      </c>
      <c r="G9" s="96" t="s">
        <v>134</v>
      </c>
      <c r="H9" s="96" t="s">
        <v>36</v>
      </c>
      <c r="I9" s="96" t="s">
        <v>135</v>
      </c>
      <c r="J9" s="96" t="s">
        <v>103</v>
      </c>
      <c r="K9" s="96" t="s">
        <v>103</v>
      </c>
      <c r="L9" s="96" t="s">
        <v>136</v>
      </c>
      <c r="M9" s="97" t="s">
        <v>189</v>
      </c>
      <c r="N9" s="73"/>
    </row>
    <row r="10" spans="1:14" ht="23.25" x14ac:dyDescent="0.45">
      <c r="A10" s="84"/>
      <c r="B10" s="85" t="s">
        <v>14</v>
      </c>
      <c r="C10" s="98">
        <v>4.8375286271007616E-2</v>
      </c>
      <c r="D10" s="87">
        <v>6.3488087007195874E-3</v>
      </c>
      <c r="E10" s="99"/>
      <c r="F10" s="87">
        <v>1.4214559237465022E-12</v>
      </c>
      <c r="G10" s="87">
        <v>3.2259022709000741E-10</v>
      </c>
      <c r="H10" s="87">
        <v>7.9896798876535026E-18</v>
      </c>
      <c r="I10" s="87">
        <v>2.0914987712421771E-17</v>
      </c>
      <c r="J10" s="87">
        <v>6.7257081531275704E-14</v>
      </c>
      <c r="K10" s="87">
        <v>6.7257081531275704E-14</v>
      </c>
      <c r="L10" s="87">
        <v>8.5942228537808183E-11</v>
      </c>
      <c r="M10" s="88">
        <v>5.8686387562234795E-24</v>
      </c>
      <c r="N10" s="73"/>
    </row>
    <row r="11" spans="1:14" x14ac:dyDescent="0.45">
      <c r="A11" s="89"/>
      <c r="B11" s="90" t="s">
        <v>15</v>
      </c>
      <c r="C11" s="91">
        <v>99</v>
      </c>
      <c r="D11" s="92">
        <v>99</v>
      </c>
      <c r="E11" s="92">
        <v>99</v>
      </c>
      <c r="F11" s="92">
        <v>99</v>
      </c>
      <c r="G11" s="92">
        <v>99</v>
      </c>
      <c r="H11" s="92">
        <v>99</v>
      </c>
      <c r="I11" s="92">
        <v>99</v>
      </c>
      <c r="J11" s="92">
        <v>99</v>
      </c>
      <c r="K11" s="92">
        <v>99</v>
      </c>
      <c r="L11" s="92">
        <v>99</v>
      </c>
      <c r="M11" s="93">
        <v>99</v>
      </c>
      <c r="N11" s="73"/>
    </row>
    <row r="12" spans="1:14" ht="23.25" x14ac:dyDescent="0.45">
      <c r="A12" s="89" t="s">
        <v>113</v>
      </c>
      <c r="B12" s="85" t="s">
        <v>13</v>
      </c>
      <c r="C12" s="98">
        <v>3.543050989106486E-2</v>
      </c>
      <c r="D12" s="96" t="s">
        <v>127</v>
      </c>
      <c r="E12" s="96" t="s">
        <v>133</v>
      </c>
      <c r="F12" s="95">
        <v>1</v>
      </c>
      <c r="G12" s="96" t="s">
        <v>138</v>
      </c>
      <c r="H12" s="96" t="s">
        <v>139</v>
      </c>
      <c r="I12" s="96" t="s">
        <v>140</v>
      </c>
      <c r="J12" s="96" t="s">
        <v>53</v>
      </c>
      <c r="K12" s="96" t="s">
        <v>141</v>
      </c>
      <c r="L12" s="96" t="s">
        <v>142</v>
      </c>
      <c r="M12" s="97" t="s">
        <v>190</v>
      </c>
      <c r="N12" s="73"/>
    </row>
    <row r="13" spans="1:14" ht="23.25" x14ac:dyDescent="0.45">
      <c r="A13" s="84"/>
      <c r="B13" s="85" t="s">
        <v>14</v>
      </c>
      <c r="C13" s="98">
        <v>0.72771907254192603</v>
      </c>
      <c r="D13" s="87">
        <v>1.0571422191869731E-2</v>
      </c>
      <c r="E13" s="87">
        <v>1.4214559237465022E-12</v>
      </c>
      <c r="F13" s="99"/>
      <c r="G13" s="87">
        <v>2.6576874423013449E-13</v>
      </c>
      <c r="H13" s="87">
        <v>2.8436684002113277E-18</v>
      </c>
      <c r="I13" s="87">
        <v>2.5114871400170236E-11</v>
      </c>
      <c r="J13" s="87">
        <v>7.6720606159233597E-17</v>
      </c>
      <c r="K13" s="87">
        <v>3.3115883820072036E-12</v>
      </c>
      <c r="L13" s="87">
        <v>1.7624488274908474E-11</v>
      </c>
      <c r="M13" s="88">
        <v>3.3846740908929341E-21</v>
      </c>
      <c r="N13" s="73"/>
    </row>
    <row r="14" spans="1:14" x14ac:dyDescent="0.45">
      <c r="A14" s="89"/>
      <c r="B14" s="90" t="s">
        <v>15</v>
      </c>
      <c r="C14" s="91">
        <v>99</v>
      </c>
      <c r="D14" s="92">
        <v>99</v>
      </c>
      <c r="E14" s="92">
        <v>99</v>
      </c>
      <c r="F14" s="92">
        <v>99</v>
      </c>
      <c r="G14" s="92">
        <v>99</v>
      </c>
      <c r="H14" s="92">
        <v>99</v>
      </c>
      <c r="I14" s="92">
        <v>99</v>
      </c>
      <c r="J14" s="92">
        <v>99</v>
      </c>
      <c r="K14" s="92">
        <v>99</v>
      </c>
      <c r="L14" s="92">
        <v>99</v>
      </c>
      <c r="M14" s="93">
        <v>99</v>
      </c>
      <c r="N14" s="73"/>
    </row>
    <row r="15" spans="1:14" ht="23.25" x14ac:dyDescent="0.45">
      <c r="A15" s="89" t="s">
        <v>114</v>
      </c>
      <c r="B15" s="85" t="s">
        <v>13</v>
      </c>
      <c r="C15" s="98">
        <v>0.18960431934778618</v>
      </c>
      <c r="D15" s="96" t="s">
        <v>56</v>
      </c>
      <c r="E15" s="96" t="s">
        <v>134</v>
      </c>
      <c r="F15" s="96" t="s">
        <v>138</v>
      </c>
      <c r="G15" s="95">
        <v>1</v>
      </c>
      <c r="H15" s="96" t="s">
        <v>144</v>
      </c>
      <c r="I15" s="96" t="s">
        <v>70</v>
      </c>
      <c r="J15" s="96" t="s">
        <v>145</v>
      </c>
      <c r="K15" s="96" t="s">
        <v>41</v>
      </c>
      <c r="L15" s="96" t="s">
        <v>68</v>
      </c>
      <c r="M15" s="97" t="s">
        <v>191</v>
      </c>
      <c r="N15" s="73"/>
    </row>
    <row r="16" spans="1:14" ht="23.25" x14ac:dyDescent="0.45">
      <c r="A16" s="84"/>
      <c r="B16" s="85" t="s">
        <v>14</v>
      </c>
      <c r="C16" s="98">
        <v>6.0153314521985482E-2</v>
      </c>
      <c r="D16" s="87">
        <v>7.6402254668272399E-4</v>
      </c>
      <c r="E16" s="87">
        <v>3.2259022709000741E-10</v>
      </c>
      <c r="F16" s="87">
        <v>2.6576874423013449E-13</v>
      </c>
      <c r="G16" s="99"/>
      <c r="H16" s="87">
        <v>3.5378338238094358E-17</v>
      </c>
      <c r="I16" s="87">
        <v>1.1850544250390393E-12</v>
      </c>
      <c r="J16" s="87">
        <v>1.7757042200277233E-13</v>
      </c>
      <c r="K16" s="87">
        <v>1.6580200441432828E-9</v>
      </c>
      <c r="L16" s="87">
        <v>6.3176298215036749E-8</v>
      </c>
      <c r="M16" s="88">
        <v>8.6189604887771455E-21</v>
      </c>
      <c r="N16" s="73"/>
    </row>
    <row r="17" spans="1:14" x14ac:dyDescent="0.45">
      <c r="A17" s="89"/>
      <c r="B17" s="90" t="s">
        <v>15</v>
      </c>
      <c r="C17" s="91">
        <v>99</v>
      </c>
      <c r="D17" s="92">
        <v>99</v>
      </c>
      <c r="E17" s="92">
        <v>99</v>
      </c>
      <c r="F17" s="92">
        <v>99</v>
      </c>
      <c r="G17" s="92">
        <v>99</v>
      </c>
      <c r="H17" s="92">
        <v>99</v>
      </c>
      <c r="I17" s="92">
        <v>99</v>
      </c>
      <c r="J17" s="92">
        <v>99</v>
      </c>
      <c r="K17" s="92">
        <v>99</v>
      </c>
      <c r="L17" s="92">
        <v>99</v>
      </c>
      <c r="M17" s="93">
        <v>99</v>
      </c>
      <c r="N17" s="73"/>
    </row>
    <row r="18" spans="1:14" ht="23.25" x14ac:dyDescent="0.45">
      <c r="A18" s="89" t="s">
        <v>115</v>
      </c>
      <c r="B18" s="85" t="s">
        <v>13</v>
      </c>
      <c r="C18" s="94" t="s">
        <v>123</v>
      </c>
      <c r="D18" s="96" t="s">
        <v>128</v>
      </c>
      <c r="E18" s="96" t="s">
        <v>36</v>
      </c>
      <c r="F18" s="96" t="s">
        <v>139</v>
      </c>
      <c r="G18" s="96" t="s">
        <v>144</v>
      </c>
      <c r="H18" s="95">
        <v>1</v>
      </c>
      <c r="I18" s="96" t="s">
        <v>147</v>
      </c>
      <c r="J18" s="96" t="s">
        <v>148</v>
      </c>
      <c r="K18" s="96" t="s">
        <v>149</v>
      </c>
      <c r="L18" s="96" t="s">
        <v>150</v>
      </c>
      <c r="M18" s="97" t="s">
        <v>192</v>
      </c>
      <c r="N18" s="73"/>
    </row>
    <row r="19" spans="1:14" ht="23.25" x14ac:dyDescent="0.45">
      <c r="A19" s="84"/>
      <c r="B19" s="85" t="s">
        <v>14</v>
      </c>
      <c r="C19" s="98">
        <v>3.2816258099358023E-2</v>
      </c>
      <c r="D19" s="87">
        <v>1.3111300703044128E-4</v>
      </c>
      <c r="E19" s="87">
        <v>7.9896798876535026E-18</v>
      </c>
      <c r="F19" s="87">
        <v>2.8436684002113277E-18</v>
      </c>
      <c r="G19" s="87">
        <v>3.5378338238094358E-17</v>
      </c>
      <c r="H19" s="99"/>
      <c r="I19" s="87">
        <v>2.0067679498750976E-25</v>
      </c>
      <c r="J19" s="87">
        <v>5.5531901835942235E-23</v>
      </c>
      <c r="K19" s="87">
        <v>8.7721276167728894E-14</v>
      </c>
      <c r="L19" s="87">
        <v>3.2101452151942877E-11</v>
      </c>
      <c r="M19" s="88">
        <v>6.3090160872705762E-34</v>
      </c>
      <c r="N19" s="73"/>
    </row>
    <row r="20" spans="1:14" x14ac:dyDescent="0.45">
      <c r="A20" s="89"/>
      <c r="B20" s="90" t="s">
        <v>15</v>
      </c>
      <c r="C20" s="91">
        <v>99</v>
      </c>
      <c r="D20" s="92">
        <v>99</v>
      </c>
      <c r="E20" s="92">
        <v>99</v>
      </c>
      <c r="F20" s="92">
        <v>99</v>
      </c>
      <c r="G20" s="92">
        <v>99</v>
      </c>
      <c r="H20" s="92">
        <v>99</v>
      </c>
      <c r="I20" s="92">
        <v>99</v>
      </c>
      <c r="J20" s="92">
        <v>99</v>
      </c>
      <c r="K20" s="92">
        <v>99</v>
      </c>
      <c r="L20" s="92">
        <v>99</v>
      </c>
      <c r="M20" s="93">
        <v>99</v>
      </c>
      <c r="N20" s="73"/>
    </row>
    <row r="21" spans="1:14" ht="23.25" x14ac:dyDescent="0.45">
      <c r="A21" s="89" t="s">
        <v>116</v>
      </c>
      <c r="B21" s="85" t="s">
        <v>13</v>
      </c>
      <c r="C21" s="94" t="s">
        <v>122</v>
      </c>
      <c r="D21" s="96" t="s">
        <v>129</v>
      </c>
      <c r="E21" s="96" t="s">
        <v>135</v>
      </c>
      <c r="F21" s="96" t="s">
        <v>140</v>
      </c>
      <c r="G21" s="96" t="s">
        <v>70</v>
      </c>
      <c r="H21" s="96" t="s">
        <v>147</v>
      </c>
      <c r="I21" s="95">
        <v>1</v>
      </c>
      <c r="J21" s="96" t="s">
        <v>152</v>
      </c>
      <c r="K21" s="96" t="s">
        <v>152</v>
      </c>
      <c r="L21" s="96" t="s">
        <v>140</v>
      </c>
      <c r="M21" s="97" t="s">
        <v>193</v>
      </c>
      <c r="N21" s="73"/>
    </row>
    <row r="22" spans="1:14" ht="23.25" x14ac:dyDescent="0.45">
      <c r="A22" s="84"/>
      <c r="B22" s="85" t="s">
        <v>14</v>
      </c>
      <c r="C22" s="98">
        <v>4.8855322654463421E-2</v>
      </c>
      <c r="D22" s="87">
        <v>3.158630090470349E-3</v>
      </c>
      <c r="E22" s="87">
        <v>2.0914987712421771E-17</v>
      </c>
      <c r="F22" s="87">
        <v>2.5114871400170236E-11</v>
      </c>
      <c r="G22" s="87">
        <v>1.1850544250390393E-12</v>
      </c>
      <c r="H22" s="87">
        <v>2.0067679498750976E-25</v>
      </c>
      <c r="I22" s="99"/>
      <c r="J22" s="87">
        <v>1.643874169365002E-16</v>
      </c>
      <c r="K22" s="87">
        <v>1.643874169365002E-16</v>
      </c>
      <c r="L22" s="87">
        <v>2.5114871400170236E-11</v>
      </c>
      <c r="M22" s="88">
        <v>2.8926305636310322E-27</v>
      </c>
      <c r="N22" s="73"/>
    </row>
    <row r="23" spans="1:14" x14ac:dyDescent="0.45">
      <c r="A23" s="89"/>
      <c r="B23" s="90" t="s">
        <v>15</v>
      </c>
      <c r="C23" s="91">
        <v>99</v>
      </c>
      <c r="D23" s="92">
        <v>99</v>
      </c>
      <c r="E23" s="92">
        <v>99</v>
      </c>
      <c r="F23" s="92">
        <v>99</v>
      </c>
      <c r="G23" s="92">
        <v>99</v>
      </c>
      <c r="H23" s="92">
        <v>99</v>
      </c>
      <c r="I23" s="92">
        <v>99</v>
      </c>
      <c r="J23" s="92">
        <v>99</v>
      </c>
      <c r="K23" s="92">
        <v>99</v>
      </c>
      <c r="L23" s="92">
        <v>99</v>
      </c>
      <c r="M23" s="93">
        <v>99</v>
      </c>
      <c r="N23" s="73"/>
    </row>
    <row r="24" spans="1:14" ht="23.25" x14ac:dyDescent="0.45">
      <c r="A24" s="89" t="s">
        <v>117</v>
      </c>
      <c r="B24" s="85" t="s">
        <v>13</v>
      </c>
      <c r="C24" s="94" t="s">
        <v>124</v>
      </c>
      <c r="D24" s="96" t="s">
        <v>130</v>
      </c>
      <c r="E24" s="96" t="s">
        <v>103</v>
      </c>
      <c r="F24" s="96" t="s">
        <v>53</v>
      </c>
      <c r="G24" s="96" t="s">
        <v>145</v>
      </c>
      <c r="H24" s="96" t="s">
        <v>148</v>
      </c>
      <c r="I24" s="96" t="s">
        <v>152</v>
      </c>
      <c r="J24" s="95">
        <v>1</v>
      </c>
      <c r="K24" s="96" t="s">
        <v>154</v>
      </c>
      <c r="L24" s="96" t="s">
        <v>53</v>
      </c>
      <c r="M24" s="97" t="s">
        <v>194</v>
      </c>
      <c r="N24" s="73"/>
    </row>
    <row r="25" spans="1:14" ht="23.25" x14ac:dyDescent="0.45">
      <c r="A25" s="84"/>
      <c r="B25" s="85" t="s">
        <v>14</v>
      </c>
      <c r="C25" s="98">
        <v>2.4935481685026441E-2</v>
      </c>
      <c r="D25" s="87">
        <v>4.9434507459310102E-5</v>
      </c>
      <c r="E25" s="87">
        <v>6.7257081531275704E-14</v>
      </c>
      <c r="F25" s="87">
        <v>7.6720606159233597E-17</v>
      </c>
      <c r="G25" s="87">
        <v>1.7757042200277233E-13</v>
      </c>
      <c r="H25" s="87">
        <v>5.5531901835942235E-23</v>
      </c>
      <c r="I25" s="87">
        <v>1.643874169365002E-16</v>
      </c>
      <c r="J25" s="99"/>
      <c r="K25" s="87">
        <v>2.507078539908016E-25</v>
      </c>
      <c r="L25" s="87">
        <v>7.6720606159233597E-17</v>
      </c>
      <c r="M25" s="88">
        <v>6.4542434019077262E-35</v>
      </c>
      <c r="N25" s="73"/>
    </row>
    <row r="26" spans="1:14" x14ac:dyDescent="0.45">
      <c r="A26" s="89"/>
      <c r="B26" s="90" t="s">
        <v>15</v>
      </c>
      <c r="C26" s="91">
        <v>99</v>
      </c>
      <c r="D26" s="92">
        <v>99</v>
      </c>
      <c r="E26" s="92">
        <v>99</v>
      </c>
      <c r="F26" s="92">
        <v>99</v>
      </c>
      <c r="G26" s="92">
        <v>99</v>
      </c>
      <c r="H26" s="92">
        <v>99</v>
      </c>
      <c r="I26" s="92">
        <v>99</v>
      </c>
      <c r="J26" s="92">
        <v>99</v>
      </c>
      <c r="K26" s="92">
        <v>99</v>
      </c>
      <c r="L26" s="92">
        <v>99</v>
      </c>
      <c r="M26" s="93">
        <v>99</v>
      </c>
      <c r="N26" s="73"/>
    </row>
    <row r="27" spans="1:14" ht="23.25" x14ac:dyDescent="0.45">
      <c r="A27" s="89" t="s">
        <v>118</v>
      </c>
      <c r="B27" s="85" t="s">
        <v>13</v>
      </c>
      <c r="C27" s="98">
        <v>0.11247242996043795</v>
      </c>
      <c r="D27" s="96" t="s">
        <v>131</v>
      </c>
      <c r="E27" s="96" t="s">
        <v>103</v>
      </c>
      <c r="F27" s="96" t="s">
        <v>141</v>
      </c>
      <c r="G27" s="96" t="s">
        <v>41</v>
      </c>
      <c r="H27" s="96" t="s">
        <v>149</v>
      </c>
      <c r="I27" s="96" t="s">
        <v>152</v>
      </c>
      <c r="J27" s="96" t="s">
        <v>154</v>
      </c>
      <c r="K27" s="95">
        <v>1</v>
      </c>
      <c r="L27" s="96" t="s">
        <v>156</v>
      </c>
      <c r="M27" s="97" t="s">
        <v>195</v>
      </c>
      <c r="N27" s="73"/>
    </row>
    <row r="28" spans="1:14" ht="23.25" x14ac:dyDescent="0.45">
      <c r="A28" s="84"/>
      <c r="B28" s="85" t="s">
        <v>14</v>
      </c>
      <c r="C28" s="98">
        <v>0.26769121796109896</v>
      </c>
      <c r="D28" s="87">
        <v>2.16357624732408E-2</v>
      </c>
      <c r="E28" s="87">
        <v>6.7257081531275704E-14</v>
      </c>
      <c r="F28" s="87">
        <v>3.3115883820072036E-12</v>
      </c>
      <c r="G28" s="87">
        <v>1.6580200441432828E-9</v>
      </c>
      <c r="H28" s="87">
        <v>8.7721276167728894E-14</v>
      </c>
      <c r="I28" s="87">
        <v>1.643874169365002E-16</v>
      </c>
      <c r="J28" s="87">
        <v>2.507078539908016E-25</v>
      </c>
      <c r="K28" s="99"/>
      <c r="L28" s="87">
        <v>1.5692510606871001E-28</v>
      </c>
      <c r="M28" s="88">
        <v>7.2517217030602124E-26</v>
      </c>
      <c r="N28" s="73"/>
    </row>
    <row r="29" spans="1:14" x14ac:dyDescent="0.45">
      <c r="A29" s="89"/>
      <c r="B29" s="90" t="s">
        <v>15</v>
      </c>
      <c r="C29" s="91">
        <v>99</v>
      </c>
      <c r="D29" s="92">
        <v>99</v>
      </c>
      <c r="E29" s="92">
        <v>99</v>
      </c>
      <c r="F29" s="92">
        <v>99</v>
      </c>
      <c r="G29" s="92">
        <v>99</v>
      </c>
      <c r="H29" s="92">
        <v>99</v>
      </c>
      <c r="I29" s="92">
        <v>99</v>
      </c>
      <c r="J29" s="92">
        <v>99</v>
      </c>
      <c r="K29" s="92">
        <v>99</v>
      </c>
      <c r="L29" s="92">
        <v>99</v>
      </c>
      <c r="M29" s="93">
        <v>99</v>
      </c>
      <c r="N29" s="73"/>
    </row>
    <row r="30" spans="1:14" ht="23.25" x14ac:dyDescent="0.45">
      <c r="A30" s="89" t="s">
        <v>119</v>
      </c>
      <c r="B30" s="85" t="s">
        <v>13</v>
      </c>
      <c r="C30" s="98">
        <v>-3.8414131776628571E-2</v>
      </c>
      <c r="D30" s="87">
        <v>0.17470100112659154</v>
      </c>
      <c r="E30" s="96" t="s">
        <v>136</v>
      </c>
      <c r="F30" s="96" t="s">
        <v>142</v>
      </c>
      <c r="G30" s="96" t="s">
        <v>68</v>
      </c>
      <c r="H30" s="96" t="s">
        <v>150</v>
      </c>
      <c r="I30" s="96" t="s">
        <v>140</v>
      </c>
      <c r="J30" s="96" t="s">
        <v>53</v>
      </c>
      <c r="K30" s="96" t="s">
        <v>156</v>
      </c>
      <c r="L30" s="95">
        <v>1</v>
      </c>
      <c r="M30" s="97" t="s">
        <v>196</v>
      </c>
      <c r="N30" s="73"/>
    </row>
    <row r="31" spans="1:14" ht="23.25" x14ac:dyDescent="0.45">
      <c r="A31" s="84"/>
      <c r="B31" s="85" t="s">
        <v>14</v>
      </c>
      <c r="C31" s="98">
        <v>0.70580136015647521</v>
      </c>
      <c r="D31" s="87">
        <v>8.3718971628697444E-2</v>
      </c>
      <c r="E31" s="87">
        <v>8.5942228537808183E-11</v>
      </c>
      <c r="F31" s="87">
        <v>1.7624488274908474E-11</v>
      </c>
      <c r="G31" s="87">
        <v>6.3176298215036749E-8</v>
      </c>
      <c r="H31" s="87">
        <v>3.2101452151942877E-11</v>
      </c>
      <c r="I31" s="87">
        <v>2.5114871400170236E-11</v>
      </c>
      <c r="J31" s="87">
        <v>7.6720606159233597E-17</v>
      </c>
      <c r="K31" s="87">
        <v>1.5692510606871001E-28</v>
      </c>
      <c r="L31" s="99"/>
      <c r="M31" s="88">
        <v>1.471571029026466E-18</v>
      </c>
      <c r="N31" s="73"/>
    </row>
    <row r="32" spans="1:14" x14ac:dyDescent="0.45">
      <c r="A32" s="89"/>
      <c r="B32" s="90" t="s">
        <v>15</v>
      </c>
      <c r="C32" s="91">
        <v>99</v>
      </c>
      <c r="D32" s="92">
        <v>99</v>
      </c>
      <c r="E32" s="92">
        <v>99</v>
      </c>
      <c r="F32" s="92">
        <v>99</v>
      </c>
      <c r="G32" s="92">
        <v>99</v>
      </c>
      <c r="H32" s="92">
        <v>99</v>
      </c>
      <c r="I32" s="92">
        <v>99</v>
      </c>
      <c r="J32" s="92">
        <v>99</v>
      </c>
      <c r="K32" s="92">
        <v>99</v>
      </c>
      <c r="L32" s="92">
        <v>99</v>
      </c>
      <c r="M32" s="93">
        <v>99</v>
      </c>
      <c r="N32" s="73"/>
    </row>
    <row r="33" spans="1:14" ht="23.25" x14ac:dyDescent="0.45">
      <c r="A33" s="89" t="s">
        <v>120</v>
      </c>
      <c r="B33" s="85" t="s">
        <v>13</v>
      </c>
      <c r="C33" s="94" t="s">
        <v>125</v>
      </c>
      <c r="D33" s="96" t="s">
        <v>132</v>
      </c>
      <c r="E33" s="96" t="s">
        <v>137</v>
      </c>
      <c r="F33" s="96" t="s">
        <v>143</v>
      </c>
      <c r="G33" s="96" t="s">
        <v>146</v>
      </c>
      <c r="H33" s="96" t="s">
        <v>151</v>
      </c>
      <c r="I33" s="96" t="s">
        <v>153</v>
      </c>
      <c r="J33" s="96" t="s">
        <v>155</v>
      </c>
      <c r="K33" s="96" t="s">
        <v>157</v>
      </c>
      <c r="L33" s="96" t="s">
        <v>158</v>
      </c>
      <c r="M33" s="100">
        <v>1</v>
      </c>
      <c r="N33" s="73"/>
    </row>
    <row r="34" spans="1:14" ht="23.25" x14ac:dyDescent="0.45">
      <c r="A34" s="84"/>
      <c r="B34" s="85" t="s">
        <v>14</v>
      </c>
      <c r="C34" s="98">
        <v>3.890156060722654E-5</v>
      </c>
      <c r="D34" s="87">
        <v>2.845222870821514E-9</v>
      </c>
      <c r="E34" s="87">
        <v>5.8686387562234795E-24</v>
      </c>
      <c r="F34" s="87">
        <v>3.3846740908929341E-21</v>
      </c>
      <c r="G34" s="87">
        <v>8.6189604887771455E-21</v>
      </c>
      <c r="H34" s="87">
        <v>6.3090160872705762E-34</v>
      </c>
      <c r="I34" s="87">
        <v>2.8926305636310322E-27</v>
      </c>
      <c r="J34" s="87">
        <v>6.4542434019077262E-35</v>
      </c>
      <c r="K34" s="87">
        <v>7.2517217030602124E-26</v>
      </c>
      <c r="L34" s="87">
        <v>1.471571029026466E-18</v>
      </c>
      <c r="M34" s="101"/>
      <c r="N34" s="73"/>
    </row>
    <row r="35" spans="1:14" x14ac:dyDescent="0.45">
      <c r="A35" s="102"/>
      <c r="B35" s="103" t="s">
        <v>15</v>
      </c>
      <c r="C35" s="104">
        <v>99</v>
      </c>
      <c r="D35" s="105">
        <v>99</v>
      </c>
      <c r="E35" s="105">
        <v>99</v>
      </c>
      <c r="F35" s="105">
        <v>99</v>
      </c>
      <c r="G35" s="105">
        <v>99</v>
      </c>
      <c r="H35" s="105">
        <v>99</v>
      </c>
      <c r="I35" s="105">
        <v>99</v>
      </c>
      <c r="J35" s="105">
        <v>99</v>
      </c>
      <c r="K35" s="105">
        <v>99</v>
      </c>
      <c r="L35" s="105">
        <v>99</v>
      </c>
      <c r="M35" s="106">
        <v>99</v>
      </c>
      <c r="N35" s="73"/>
    </row>
    <row r="36" spans="1:14" x14ac:dyDescent="0.45">
      <c r="A36" s="107" t="s">
        <v>16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73"/>
    </row>
    <row r="37" spans="1:14" x14ac:dyDescent="0.45">
      <c r="A37" s="107" t="s">
        <v>17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73"/>
    </row>
  </sheetData>
  <mergeCells count="15">
    <mergeCell ref="A33:A35"/>
    <mergeCell ref="A36:M36"/>
    <mergeCell ref="A37:M37"/>
    <mergeCell ref="A15:A17"/>
    <mergeCell ref="A18:A20"/>
    <mergeCell ref="A21:A23"/>
    <mergeCell ref="A24:A26"/>
    <mergeCell ref="A27:A29"/>
    <mergeCell ref="A30:A32"/>
    <mergeCell ref="A1:M1"/>
    <mergeCell ref="A2:B2"/>
    <mergeCell ref="A3:A5"/>
    <mergeCell ref="A6:A8"/>
    <mergeCell ref="A9:A11"/>
    <mergeCell ref="A12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DB37-1DCF-499F-8FC0-DB034228BC8A}">
  <dimension ref="A1:K12"/>
  <sheetViews>
    <sheetView workbookViewId="0">
      <selection activeCell="N7" sqref="N7"/>
    </sheetView>
  </sheetViews>
  <sheetFormatPr defaultRowHeight="14.25" x14ac:dyDescent="0.45"/>
  <cols>
    <col min="1" max="1" width="7.06640625" style="115" bestFit="1" customWidth="1"/>
    <col min="2" max="2" width="11.59765625" style="115" bestFit="1" customWidth="1"/>
    <col min="3" max="3" width="9.73046875" style="115" bestFit="1" customWidth="1"/>
    <col min="4" max="4" width="9.06640625" style="115"/>
    <col min="5" max="5" width="7.06640625" style="115" bestFit="1" customWidth="1"/>
    <col min="6" max="6" width="11.59765625" style="115" bestFit="1" customWidth="1"/>
    <col min="7" max="7" width="9.73046875" style="115" bestFit="1" customWidth="1"/>
    <col min="8" max="8" width="9.06640625" style="115"/>
    <col min="9" max="9" width="7.06640625" style="115" bestFit="1" customWidth="1"/>
    <col min="10" max="10" width="11.59765625" style="115" bestFit="1" customWidth="1"/>
    <col min="11" max="11" width="9.73046875" style="115" bestFit="1" customWidth="1"/>
    <col min="12" max="16384" width="9.06640625" style="115"/>
  </cols>
  <sheetData>
    <row r="1" spans="1:11" x14ac:dyDescent="0.45">
      <c r="A1" s="114" t="s">
        <v>162</v>
      </c>
      <c r="B1" s="114"/>
      <c r="C1" s="114"/>
      <c r="E1" s="114" t="s">
        <v>166</v>
      </c>
      <c r="F1" s="114"/>
      <c r="G1" s="114"/>
      <c r="I1" s="114" t="s">
        <v>167</v>
      </c>
      <c r="J1" s="114"/>
      <c r="K1" s="114"/>
    </row>
    <row r="2" spans="1:11" x14ac:dyDescent="0.45">
      <c r="A2" s="116" t="s">
        <v>163</v>
      </c>
      <c r="B2" s="116" t="s">
        <v>164</v>
      </c>
      <c r="C2" s="116" t="s">
        <v>165</v>
      </c>
      <c r="E2" s="116" t="s">
        <v>163</v>
      </c>
      <c r="F2" s="116" t="s">
        <v>164</v>
      </c>
      <c r="G2" s="116" t="s">
        <v>165</v>
      </c>
      <c r="I2" s="116" t="s">
        <v>163</v>
      </c>
      <c r="J2" s="116" t="s">
        <v>164</v>
      </c>
      <c r="K2" s="116" t="s">
        <v>165</v>
      </c>
    </row>
    <row r="3" spans="1:11" x14ac:dyDescent="0.45">
      <c r="A3" s="116" t="str">
        <f>INDEX('X1'!M:M,ROW('Rangkuman Validitas'!A1)*3)</f>
        <v>0,748**</v>
      </c>
      <c r="B3" s="116">
        <f>INDEX('X1'!M:M,ROW('Rangkuman Validitas'!A1)*3+1)</f>
        <v>5.3402925595297125E-19</v>
      </c>
      <c r="C3" s="116" t="str">
        <f>IF(B3&lt;0.05,"Valid","Tidak Valid")</f>
        <v>Valid</v>
      </c>
      <c r="E3" s="116" t="str">
        <f>INDEX('X2'!M:M,ROW('Rangkuman Validitas'!A1)*3)</f>
        <v>0,748**</v>
      </c>
      <c r="F3" s="116">
        <f>INDEX('X2'!M:M,ROW('Rangkuman Validitas'!A1)*3+1)</f>
        <v>5.4710491772998838E-19</v>
      </c>
      <c r="G3" s="116" t="str">
        <f>IF(F3&lt;0.05,"Valid","Tidak Valid")</f>
        <v>Valid</v>
      </c>
      <c r="I3" s="116" t="str">
        <f>INDEX(Y!M:M,ROW('Rangkuman Validitas'!A1)*3)</f>
        <v>0,401**</v>
      </c>
      <c r="J3" s="116">
        <f>INDEX(Y!M:M,ROW('Rangkuman Validitas'!A1)*3+1)</f>
        <v>3.890156060722654E-5</v>
      </c>
      <c r="K3" s="116" t="str">
        <f>IF(J3&lt;0.05,"Valid","Tidak Valid")</f>
        <v>Valid</v>
      </c>
    </row>
    <row r="4" spans="1:11" x14ac:dyDescent="0.45">
      <c r="A4" s="116" t="str">
        <f>INDEX('X1'!M:M,ROW('Rangkuman Validitas'!A2)*3)</f>
        <v>0,733**</v>
      </c>
      <c r="B4" s="116">
        <f>INDEX('X1'!M:M,ROW('Rangkuman Validitas'!A2)*3+1)</f>
        <v>6.6161295886463376E-18</v>
      </c>
      <c r="C4" s="116" t="str">
        <f t="shared" ref="C4:C12" si="0">IF(B4&lt;0.05,"Valid","Tidak Valid")</f>
        <v>Valid</v>
      </c>
      <c r="E4" s="116" t="str">
        <f>INDEX('X2'!M:M,ROW('Rangkuman Validitas'!A2)*3)</f>
        <v>0,624**</v>
      </c>
      <c r="F4" s="116">
        <f>INDEX('X2'!M:M,ROW('Rangkuman Validitas'!A2)*3+1)</f>
        <v>5.0176177245432829E-12</v>
      </c>
      <c r="G4" s="116" t="str">
        <f t="shared" ref="G4:G12" si="1">IF(F4&lt;0.05,"Valid","Tidak Valid")</f>
        <v>Valid</v>
      </c>
      <c r="I4" s="116" t="str">
        <f>INDEX(Y!M:M,ROW('Rangkuman Validitas'!A2)*3)</f>
        <v>0,553**</v>
      </c>
      <c r="J4" s="116">
        <f>INDEX(Y!M:M,ROW('Rangkuman Validitas'!A2)*3+1)</f>
        <v>2.845222870821514E-9</v>
      </c>
      <c r="K4" s="116" t="str">
        <f t="shared" ref="K4:K12" si="2">IF(J4&lt;0.05,"Valid","Tidak Valid")</f>
        <v>Valid</v>
      </c>
    </row>
    <row r="5" spans="1:11" x14ac:dyDescent="0.45">
      <c r="A5" s="116" t="str">
        <f>INDEX('X1'!M:M,ROW('Rangkuman Validitas'!A3)*3)</f>
        <v>0,704**</v>
      </c>
      <c r="B5" s="116">
        <f>INDEX('X1'!M:M,ROW('Rangkuman Validitas'!A3)*3+1)</f>
        <v>4.3266422862219767E-16</v>
      </c>
      <c r="C5" s="116" t="str">
        <f t="shared" si="0"/>
        <v>Valid</v>
      </c>
      <c r="E5" s="116" t="str">
        <f>INDEX('X2'!M:M,ROW('Rangkuman Validitas'!A3)*3)</f>
        <v>0,509**</v>
      </c>
      <c r="F5" s="116">
        <f>INDEX('X2'!M:M,ROW('Rangkuman Validitas'!A3)*3+1)</f>
        <v>7.6346276444518506E-8</v>
      </c>
      <c r="G5" s="116" t="str">
        <f t="shared" si="1"/>
        <v>Valid</v>
      </c>
      <c r="I5" s="116" t="str">
        <f>INDEX(Y!M:M,ROW('Rangkuman Validitas'!A3)*3)</f>
        <v>0,807**</v>
      </c>
      <c r="J5" s="116">
        <f>INDEX(Y!M:M,ROW('Rangkuman Validitas'!A3)*3+1)</f>
        <v>5.8686387562234795E-24</v>
      </c>
      <c r="K5" s="116" t="str">
        <f t="shared" si="2"/>
        <v>Valid</v>
      </c>
    </row>
    <row r="6" spans="1:11" x14ac:dyDescent="0.45">
      <c r="A6" s="116" t="str">
        <f>INDEX('X1'!M:M,ROW('Rangkuman Validitas'!A4)*3)</f>
        <v>0,768**</v>
      </c>
      <c r="B6" s="116">
        <f>INDEX('X1'!M:M,ROW('Rangkuman Validitas'!A4)*3+1)</f>
        <v>1.7553395554124676E-20</v>
      </c>
      <c r="C6" s="116" t="str">
        <f t="shared" si="0"/>
        <v>Valid</v>
      </c>
      <c r="E6" s="116" t="str">
        <f>INDEX('X2'!M:M,ROW('Rangkuman Validitas'!A4)*3)</f>
        <v>0,767**</v>
      </c>
      <c r="F6" s="116">
        <f>INDEX('X2'!M:M,ROW('Rangkuman Validitas'!A4)*3+1)</f>
        <v>2.2322138062113171E-20</v>
      </c>
      <c r="G6" s="116" t="str">
        <f t="shared" si="1"/>
        <v>Valid</v>
      </c>
      <c r="I6" s="116" t="str">
        <f>INDEX(Y!M:M,ROW('Rangkuman Validitas'!A4)*3)</f>
        <v>0,777**</v>
      </c>
      <c r="J6" s="116">
        <f>INDEX(Y!M:M,ROW('Rangkuman Validitas'!A4)*3+1)</f>
        <v>3.3846740908929341E-21</v>
      </c>
      <c r="K6" s="116" t="str">
        <f t="shared" si="2"/>
        <v>Valid</v>
      </c>
    </row>
    <row r="7" spans="1:11" x14ac:dyDescent="0.45">
      <c r="A7" s="116" t="str">
        <f>INDEX('X1'!M:M,ROW('Rangkuman Validitas'!A5)*3)</f>
        <v>0,745**</v>
      </c>
      <c r="B7" s="116">
        <f>INDEX('X1'!M:M,ROW('Rangkuman Validitas'!A5)*3+1)</f>
        <v>9.9409535881896977E-19</v>
      </c>
      <c r="C7" s="116" t="str">
        <f t="shared" si="0"/>
        <v>Valid</v>
      </c>
      <c r="E7" s="116" t="str">
        <f>INDEX('X2'!M:M,ROW('Rangkuman Validitas'!A5)*3)</f>
        <v>0,781**</v>
      </c>
      <c r="F7" s="116">
        <f>INDEX('X2'!M:M,ROW('Rangkuman Validitas'!A5)*3+1)</f>
        <v>1.4653081700554051E-21</v>
      </c>
      <c r="G7" s="116" t="str">
        <f t="shared" si="1"/>
        <v>Valid</v>
      </c>
      <c r="I7" s="116" t="str">
        <f>INDEX(Y!M:M,ROW('Rangkuman Validitas'!A5)*3)</f>
        <v>0,772**</v>
      </c>
      <c r="J7" s="116">
        <f>INDEX(Y!M:M,ROW('Rangkuman Validitas'!A5)*3+1)</f>
        <v>8.6189604887771455E-21</v>
      </c>
      <c r="K7" s="116" t="str">
        <f t="shared" si="2"/>
        <v>Valid</v>
      </c>
    </row>
    <row r="8" spans="1:11" x14ac:dyDescent="0.45">
      <c r="A8" s="116" t="str">
        <f>INDEX('X1'!M:M,ROW('Rangkuman Validitas'!A6)*3)</f>
        <v>0,672**</v>
      </c>
      <c r="B8" s="116">
        <f>INDEX('X1'!M:M,ROW('Rangkuman Validitas'!A6)*3+1)</f>
        <v>2.7010784156200455E-14</v>
      </c>
      <c r="C8" s="116" t="str">
        <f t="shared" si="0"/>
        <v>Valid</v>
      </c>
      <c r="E8" s="116" t="str">
        <f>INDEX('X2'!M:M,ROW('Rangkuman Validitas'!A6)*3)</f>
        <v>0,815**</v>
      </c>
      <c r="F8" s="116">
        <f>INDEX('X2'!M:M,ROW('Rangkuman Validitas'!A6)*3+1)</f>
        <v>9.6159920345595445E-25</v>
      </c>
      <c r="G8" s="116" t="str">
        <f t="shared" si="1"/>
        <v>Valid</v>
      </c>
      <c r="I8" s="116" t="str">
        <f>INDEX(Y!M:M,ROW('Rangkuman Validitas'!A6)*3)</f>
        <v>0,885**</v>
      </c>
      <c r="J8" s="116">
        <f>INDEX(Y!M:M,ROW('Rangkuman Validitas'!A6)*3+1)</f>
        <v>6.3090160872705762E-34</v>
      </c>
      <c r="K8" s="116" t="str">
        <f t="shared" si="2"/>
        <v>Valid</v>
      </c>
    </row>
    <row r="9" spans="1:11" x14ac:dyDescent="0.45">
      <c r="A9" s="116" t="str">
        <f>INDEX('X1'!M:M,ROW('Rangkuman Validitas'!A7)*3)</f>
        <v>0,760**</v>
      </c>
      <c r="B9" s="116">
        <f>INDEX('X1'!M:M,ROW('Rangkuman Validitas'!A7)*3+1)</f>
        <v>7.7987093797117377E-20</v>
      </c>
      <c r="C9" s="116" t="str">
        <f t="shared" si="0"/>
        <v>Valid</v>
      </c>
      <c r="E9" s="116" t="str">
        <f>INDEX('X2'!M:M,ROW('Rangkuman Validitas'!A7)*3)</f>
        <v>0,664**</v>
      </c>
      <c r="F9" s="116">
        <f>INDEX('X2'!M:M,ROW('Rangkuman Validitas'!A7)*3+1)</f>
        <v>6.6945831865757445E-14</v>
      </c>
      <c r="G9" s="116" t="str">
        <f t="shared" si="1"/>
        <v>Valid</v>
      </c>
      <c r="I9" s="116" t="str">
        <f>INDEX(Y!M:M,ROW('Rangkuman Validitas'!A7)*3)</f>
        <v>0,838**</v>
      </c>
      <c r="J9" s="116">
        <f>INDEX(Y!M:M,ROW('Rangkuman Validitas'!A7)*3+1)</f>
        <v>2.8926305636310322E-27</v>
      </c>
      <c r="K9" s="116" t="str">
        <f t="shared" si="2"/>
        <v>Valid</v>
      </c>
    </row>
    <row r="10" spans="1:11" x14ac:dyDescent="0.45">
      <c r="A10" s="116" t="str">
        <f>INDEX('X1'!M:M,ROW('Rangkuman Validitas'!A8)*3)</f>
        <v>0,716**</v>
      </c>
      <c r="B10" s="116">
        <f>INDEX('X1'!M:M,ROW('Rangkuman Validitas'!A8)*3+1)</f>
        <v>8.3964755830463353E-17</v>
      </c>
      <c r="C10" s="116" t="str">
        <f t="shared" si="0"/>
        <v>Valid</v>
      </c>
      <c r="E10" s="116" t="str">
        <f>INDEX('X2'!M:M,ROW('Rangkuman Validitas'!A8)*3)</f>
        <v>0,644**</v>
      </c>
      <c r="F10" s="116">
        <f>INDEX('X2'!M:M,ROW('Rangkuman Validitas'!A8)*3+1)</f>
        <v>6.2813945805605049E-13</v>
      </c>
      <c r="G10" s="116" t="str">
        <f t="shared" si="1"/>
        <v>Valid</v>
      </c>
      <c r="I10" s="116" t="str">
        <f>INDEX(Y!M:M,ROW('Rangkuman Validitas'!A8)*3)</f>
        <v>0,890**</v>
      </c>
      <c r="J10" s="116">
        <f>INDEX(Y!M:M,ROW('Rangkuman Validitas'!A8)*3+1)</f>
        <v>6.4542434019077262E-35</v>
      </c>
      <c r="K10" s="116" t="str">
        <f t="shared" si="2"/>
        <v>Valid</v>
      </c>
    </row>
    <row r="11" spans="1:11" x14ac:dyDescent="0.45">
      <c r="A11" s="116" t="str">
        <f>INDEX('X1'!M:M,ROW('Rangkuman Validitas'!A9)*3)</f>
        <v>0,496**</v>
      </c>
      <c r="B11" s="116">
        <f>INDEX('X1'!M:M,ROW('Rangkuman Validitas'!A9)*3+1)</f>
        <v>1.7434863281247822E-7</v>
      </c>
      <c r="C11" s="116" t="str">
        <f t="shared" si="0"/>
        <v>Valid</v>
      </c>
      <c r="E11" s="116" t="str">
        <f>INDEX('X2'!M:M,ROW('Rangkuman Validitas'!A9)*3)</f>
        <v>0,504**</v>
      </c>
      <c r="F11" s="116">
        <f>INDEX('X2'!M:M,ROW('Rangkuman Validitas'!A9)*3+1)</f>
        <v>1.0226085445353946E-7</v>
      </c>
      <c r="G11" s="116" t="str">
        <f t="shared" si="1"/>
        <v>Valid</v>
      </c>
      <c r="I11" s="116" t="str">
        <f>INDEX(Y!M:M,ROW('Rangkuman Validitas'!A9)*3)</f>
        <v>0,826**</v>
      </c>
      <c r="J11" s="116">
        <f>INDEX(Y!M:M,ROW('Rangkuman Validitas'!A9)*3+1)</f>
        <v>7.2517217030602124E-26</v>
      </c>
      <c r="K11" s="116" t="str">
        <f t="shared" si="2"/>
        <v>Valid</v>
      </c>
    </row>
    <row r="12" spans="1:11" x14ac:dyDescent="0.45">
      <c r="A12" s="116" t="str">
        <f>INDEX('X1'!M:M,ROW('Rangkuman Validitas'!A10)*3)</f>
        <v>0,333**</v>
      </c>
      <c r="B12" s="116">
        <f>INDEX('X1'!M:M,ROW('Rangkuman Validitas'!A10)*3+1)</f>
        <v>7.4659985492170431E-4</v>
      </c>
      <c r="C12" s="116" t="str">
        <f t="shared" si="0"/>
        <v>Valid</v>
      </c>
      <c r="E12" s="116" t="str">
        <f>INDEX('X2'!M:M,ROW('Rangkuman Validitas'!A10)*3)</f>
        <v>0,597**</v>
      </c>
      <c r="F12" s="116">
        <f>INDEX('X2'!M:M,ROW('Rangkuman Validitas'!A10)*3+1)</f>
        <v>7.0384221726789664E-11</v>
      </c>
      <c r="G12" s="116" t="str">
        <f t="shared" si="1"/>
        <v>Valid</v>
      </c>
      <c r="I12" s="116" t="str">
        <f>INDEX(Y!M:M,ROW('Rangkuman Validitas'!A10)*3)</f>
        <v>0,742**</v>
      </c>
      <c r="J12" s="116">
        <f>INDEX(Y!M:M,ROW('Rangkuman Validitas'!A10)*3+1)</f>
        <v>1.471571029026466E-18</v>
      </c>
      <c r="K12" s="116" t="str">
        <f t="shared" si="2"/>
        <v>Valid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8DEA-22DC-4A07-8EDB-33500ED952BC}">
  <dimension ref="A1:C11"/>
  <sheetViews>
    <sheetView workbookViewId="0">
      <selection activeCell="G8" sqref="G8"/>
    </sheetView>
  </sheetViews>
  <sheetFormatPr defaultRowHeight="14.25" x14ac:dyDescent="0.45"/>
  <sheetData>
    <row r="1" spans="1:3" x14ac:dyDescent="0.45">
      <c r="A1" s="108" t="s">
        <v>159</v>
      </c>
      <c r="B1" s="108"/>
      <c r="C1" s="109"/>
    </row>
    <row r="2" spans="1:3" ht="24" x14ac:dyDescent="0.45">
      <c r="A2" s="110" t="s">
        <v>160</v>
      </c>
      <c r="B2" s="111" t="s">
        <v>161</v>
      </c>
      <c r="C2" s="109"/>
    </row>
    <row r="3" spans="1:3" x14ac:dyDescent="0.45">
      <c r="A3" s="112">
        <v>0.86231821204498171</v>
      </c>
      <c r="B3" s="113">
        <v>10</v>
      </c>
      <c r="C3" s="109"/>
    </row>
    <row r="5" spans="1:3" x14ac:dyDescent="0.45">
      <c r="A5" s="108" t="s">
        <v>159</v>
      </c>
      <c r="B5" s="108"/>
      <c r="C5" s="109"/>
    </row>
    <row r="6" spans="1:3" ht="24" x14ac:dyDescent="0.45">
      <c r="A6" s="110" t="s">
        <v>160</v>
      </c>
      <c r="B6" s="111" t="s">
        <v>161</v>
      </c>
      <c r="C6" s="109"/>
    </row>
    <row r="7" spans="1:3" x14ac:dyDescent="0.45">
      <c r="A7" s="112">
        <v>0.85783897978381429</v>
      </c>
      <c r="B7" s="113">
        <v>10</v>
      </c>
      <c r="C7" s="109"/>
    </row>
    <row r="9" spans="1:3" x14ac:dyDescent="0.45">
      <c r="A9" s="108" t="s">
        <v>159</v>
      </c>
      <c r="B9" s="108"/>
      <c r="C9" s="109"/>
    </row>
    <row r="10" spans="1:3" ht="24" x14ac:dyDescent="0.45">
      <c r="A10" s="110" t="s">
        <v>160</v>
      </c>
      <c r="B10" s="111" t="s">
        <v>161</v>
      </c>
      <c r="C10" s="109"/>
    </row>
    <row r="11" spans="1:3" x14ac:dyDescent="0.45">
      <c r="A11" s="112">
        <v>0.90811982405005431</v>
      </c>
      <c r="B11" s="113">
        <v>10</v>
      </c>
      <c r="C11" s="109"/>
    </row>
  </sheetData>
  <mergeCells count="3">
    <mergeCell ref="A5:B5"/>
    <mergeCell ref="A1:B1"/>
    <mergeCell ref="A9: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A7CB-BE74-4C2A-B64A-E745C8EDB7D1}">
  <dimension ref="A1:C4"/>
  <sheetViews>
    <sheetView tabSelected="1" workbookViewId="0">
      <selection activeCell="E10" sqref="E10"/>
    </sheetView>
  </sheetViews>
  <sheetFormatPr defaultRowHeight="14.25" x14ac:dyDescent="0.45"/>
  <cols>
    <col min="1" max="1" width="17" bestFit="1" customWidth="1"/>
    <col min="2" max="2" width="14.46484375" customWidth="1"/>
  </cols>
  <sheetData>
    <row r="1" spans="1:3" x14ac:dyDescent="0.45">
      <c r="A1" s="116" t="s">
        <v>197</v>
      </c>
      <c r="B1" s="116" t="s">
        <v>160</v>
      </c>
      <c r="C1" s="116" t="s">
        <v>165</v>
      </c>
    </row>
    <row r="2" spans="1:3" x14ac:dyDescent="0.45">
      <c r="A2" s="116" t="s">
        <v>12</v>
      </c>
      <c r="B2" s="116">
        <f>Reliabilitas!A3</f>
        <v>0.86231821204498171</v>
      </c>
      <c r="C2" s="116" t="str">
        <f>IF(B2&gt;0.6,"Reliabel","Tidak Reliabel")</f>
        <v>Reliabel</v>
      </c>
    </row>
    <row r="3" spans="1:3" x14ac:dyDescent="0.45">
      <c r="A3" s="116" t="s">
        <v>67</v>
      </c>
      <c r="B3" s="116">
        <f>Reliabilitas!A7</f>
        <v>0.85783897978381429</v>
      </c>
      <c r="C3" s="116" t="str">
        <f t="shared" ref="C3:C4" si="0">IF(B3&gt;0.6,"Reliabel","Tidak Reliabel")</f>
        <v>Reliabel</v>
      </c>
    </row>
    <row r="4" spans="1:3" x14ac:dyDescent="0.45">
      <c r="A4" s="116" t="s">
        <v>198</v>
      </c>
      <c r="B4" s="116">
        <f>Reliabilitas!A11</f>
        <v>0.90811982405005431</v>
      </c>
      <c r="C4" s="116" t="str">
        <f t="shared" si="0"/>
        <v>Reliabel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X1</vt:lpstr>
      <vt:lpstr>X2</vt:lpstr>
      <vt:lpstr>Y</vt:lpstr>
      <vt:lpstr>Rangkuman Validitas</vt:lpstr>
      <vt:lpstr>Reliabilitas</vt:lpstr>
      <vt:lpstr>Rangkuman Reliabilits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2025-08-19T12:21:28Z</dcterms:created>
  <dcterms:modified xsi:type="dcterms:W3CDTF">2025-08-19T12:32:20Z</dcterms:modified>
</cp:coreProperties>
</file>